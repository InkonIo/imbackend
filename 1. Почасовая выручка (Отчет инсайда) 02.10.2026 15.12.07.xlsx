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inkonio/Desktop/im 2/"/>
    </mc:Choice>
  </mc:AlternateContent>
  <xr:revisionPtr revIDLastSave="0" documentId="13_ncr:1_{44201ADF-50B8-674F-A0A2-CD8EFCBCB050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1. Почасовая выручка (Отчет инс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1" l="1"/>
  <c r="D206" i="1"/>
  <c r="D175" i="1"/>
</calcChain>
</file>

<file path=xl/sharedStrings.xml><?xml version="1.0" encoding="utf-8"?>
<sst xmlns="http://schemas.openxmlformats.org/spreadsheetml/2006/main" count="213" uniqueCount="41">
  <si>
    <t>1. Почасовая выручка (Отчет инсайда)</t>
  </si>
  <si>
    <t>Название ресторана: 02019 Dostyk Plaza</t>
  </si>
  <si>
    <t>Период: с 14.09.2026 по 27.09.2026</t>
  </si>
  <si>
    <t>Итого</t>
  </si>
  <si>
    <t>Торговое предприятие</t>
  </si>
  <si>
    <t>Учетный день</t>
  </si>
  <si>
    <t>Час закрытия</t>
  </si>
  <si>
    <t>Количество гостей</t>
  </si>
  <si>
    <t>Сумма без скидки, тг.</t>
  </si>
  <si>
    <t>Средняя сумма заказа, тг.</t>
  </si>
  <si>
    <t>02019 Dostyk Plaza</t>
  </si>
  <si>
    <t>00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</si>
  <si>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</si>
  <si>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</si>
  <si>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</si>
  <si>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</si>
  <si>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</si>
  <si>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</si>
  <si>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</si>
  <si>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</si>
  <si>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</si>
  <si>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</si>
  <si>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</si>
  <si>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</si>
  <si>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</si>
  <si>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</si>
  <si>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14.09.2026 всего</t>
  </si>
  <si>
    <t>15.09.2026 всего</t>
  </si>
  <si>
    <t>16.09.2026 всего</t>
  </si>
  <si>
    <t>01</t>
  </si>
  <si>
    <t>17.09.2026 всего</t>
  </si>
  <si>
    <t>18.09.2026 всего</t>
  </si>
  <si>
    <t>19.09.2026 всего</t>
  </si>
  <si>
    <t>20.09.2026 всего</t>
  </si>
  <si>
    <t>21.09.2026 всего</t>
  </si>
  <si>
    <t>22.09.2026 всего</t>
  </si>
  <si>
    <t>23.09.2026 всего</t>
  </si>
  <si>
    <t>25.09.2026 всего</t>
  </si>
  <si>
    <t>26.09.2026 всего</t>
  </si>
  <si>
    <t>27.09.2026 всего</t>
  </si>
  <si>
    <t>02019 Dostyk Plaza всего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</si>
</sst>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00"/>
  </numFmts>
  <fonts count="5" x14ac:knownFonts="1">
    <font>
      <sz val="11"/>
      <color theme="1"/>
      <name val="Calibri"/>
      <family val="2"/>
      <scheme val="minor"/>
    </font>
    <font>
      <sz val="16"/>
      <color rgb="FF000000"/>
      <name val="Tahoma"/>
    </font>
    <font>
      <sz val="10"/>
      <color rgb="FF000000"/>
      <name val="Tahoma"/>
    </font>
    <font>
      <sz val="8.25"/>
      <color rgb="FF000000"/>
      <name val="Tahoma"/>
    </font>
    <font>
      <b/>
      <sz val="8.25"/>
      <color rgb="FF444444"/>
      <name val="Tahoma"/>
    </font>
  </fonts>
  <fills count="4">
    <fill>
      <patternFill patternType="none"/>
    </fill>
    <fill>
      <patternFill patternType="gray125"/>
    </fill>
    <fill>
      <patternFill patternType="solid">
        <fgColor rgb="FFF0F0F0"/>
      </patternFill>
    </fill>
    <fill>
      <patternFill patternType="solid">
        <fgColor rgb="FFFAFAFA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1" xfId="0" applyFont="1" applyFill="1" applyBorder="1" applyAlignment="1">
      <alignment horizontal="left" vertical="center" readingOrder="1"/>
    </xf>
    <xf numFmtId="49" fontId="3" fillId="2" borderId="1" xfId="0" applyNumberFormat="1" applyFont="1" applyFill="1" applyBorder="1" applyAlignment="1">
      <alignment horizontal="left" vertical="center" readingOrder="1"/>
    </xf>
    <xf numFmtId="49" fontId="3" fillId="2" borderId="2" xfId="0" applyNumberFormat="1" applyFont="1" applyFill="1" applyBorder="1" applyAlignment="1">
      <alignment horizontal="left" vertical="center" readingOrder="1"/>
    </xf>
    <xf numFmtId="164" fontId="3" fillId="2" borderId="2" xfId="0" applyNumberFormat="1" applyFont="1" applyFill="1" applyBorder="1" applyAlignment="1">
      <alignment horizontal="left" vertical="center" readingOrder="1"/>
    </xf>
    <xf numFmtId="165" fontId="4" fillId="3" borderId="1" xfId="0" applyNumberFormat="1" applyFont="1" applyFill="1" applyBorder="1" applyAlignment="1">
      <alignment horizontal="right" vertical="center" readingOrder="1"/>
    </xf>
    <xf numFmtId="2" fontId="4" fillId="3" borderId="1" xfId="0" applyNumberFormat="1" applyFont="1" applyFill="1" applyBorder="1" applyAlignment="1">
      <alignment horizontal="right" vertical="center" readingOrder="1"/>
    </xf>
    <xf numFmtId="164" fontId="3" fillId="2" borderId="1" xfId="0" applyNumberFormat="1" applyFont="1" applyFill="1" applyBorder="1" applyAlignment="1">
      <alignment horizontal="left" vertical="center" readingOrder="1"/>
    </xf>
    <xf numFmtId="0" fontId="1" fillId="0" borderId="0" xfId="0" applyFont="1" applyAlignment="1">
      <alignment horizontal="left" vertical="top" wrapText="1" readingOrder="1"/>
    </xf>
    <xf numFmtId="0" fontId="2" fillId="0" borderId="0" xfId="0" applyFont="1" applyAlignment="1">
      <alignment horizontal="left" vertical="top" wrapText="1" readingOrder="1"/>
    </xf>
    <xf numFmtId="0" fontId="3" fillId="2" borderId="1" xfId="0" applyFont="1" applyFill="1" applyBorder="1" applyAlignment="1">
      <alignment horizontal="left" vertical="center" readingOrder="1"/>
    </xf>
    <xf numFmtId="2" fontId="4" fillId="3" borderId="1" xfId="0" applyNumberFormat="1" applyFont="1" applyFill="1" applyBorder="1" applyAlignment="1">
      <alignment horizontal="right" vertical="center" readingOrder="1"/>
    </xf>
    <xf numFmtId="0" fontId="3" fillId="2" borderId="3" xfId="0" applyFont="1" applyFill="1" applyBorder="1" applyAlignment="1">
      <alignment horizontal="left" vertical="center" readingOrder="1"/>
    </xf>
    <xf numFmtId="49" fontId="3" fillId="2" borderId="1" xfId="0" applyNumberFormat="1" applyFont="1" applyFill="1" applyBorder="1" applyAlignment="1">
      <alignment horizontal="left" vertical="center" readingOrder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G207"/>
  <sheetViews>
    <sheetView showGridLines="0" tabSelected="1" topLeftCell="A11" zoomScale="150" workbookViewId="0">
      <selection activeCell="F58" sqref="F58:G58"/>
    </sheetView>
  </sheetViews>
  <sheetFormatPr baseColWidth="10" defaultColWidth="8.83203125" defaultRowHeight="15" x14ac:dyDescent="0.2"/>
  <cols>
    <col min="1" max="1" width="21.83203125" customWidth="1"/>
    <col min="2" max="2" width="15.1640625" customWidth="1"/>
    <col min="3" max="3" width="14.83203125" customWidth="1"/>
    <col min="4" max="4" width="18.6640625" customWidth="1"/>
    <col min="5" max="5" width="21" customWidth="1"/>
    <col min="6" max="6" width="11.33203125" customWidth="1"/>
    <col min="7" max="7" width="13" customWidth="1"/>
  </cols>
  <sheetData>
    <row r="1" spans="1:7" ht="24" customHeight="1" x14ac:dyDescent="0.2">
      <c r="A1" s="8" t="s">
        <v>0</v>
      </c>
      <c r="B1" s="8"/>
      <c r="C1" s="8"/>
      <c r="D1" s="8"/>
      <c r="E1" s="8"/>
      <c r="F1" s="8"/>
    </row>
    <row r="2" spans="1:7" ht="15" customHeight="1" x14ac:dyDescent="0.2">
      <c r="A2" s="9" t="s">
        <v>1</v>
      </c>
      <c r="B2" s="9"/>
      <c r="C2" s="9"/>
      <c r="D2" s="9"/>
      <c r="E2" s="9"/>
      <c r="F2" s="9"/>
    </row>
    <row r="3" spans="1:7" ht="15" customHeight="1" x14ac:dyDescent="0.2">
      <c r="A3" s="9" t="s">
        <v>2</v>
      </c>
      <c r="B3" s="9"/>
      <c r="C3" s="9"/>
      <c r="D3" s="9"/>
      <c r="E3" s="9"/>
      <c r="F3" s="9"/>
    </row>
    <row r="4" spans="1:7" ht="15" customHeight="1" x14ac:dyDescent="0.2">
      <c r="D4" s="10" t="s">
        <v>3</v>
      </c>
      <c r="E4" s="10"/>
      <c r="F4" s="10"/>
      <c r="G4" s="10"/>
    </row>
    <row r="5" spans="1:7" ht="15" customHeight="1" x14ac:dyDescent="0.2">
      <c r="A5" s="2" t="s">
        <v>4</v>
      </c>
      <c r="B5" s="2" t="s">
        <v>5</v>
      </c>
      <c r="C5" s="2" t="s">
        <v>6</v>
      </c>
      <c r="D5" s="1" t="s">
        <v>7</v>
      </c>
      <c r="E5" s="1" t="s">
        <v>8</v>
      </c>
      <c r="F5" s="10" t="s">
        <v>9</v>
      </c>
      <c r="G5" s="10"/>
    </row>
    <row r="6" spans="1:7" ht="15" customHeight="1" x14ac:dyDescent="0.2">
      <c r="A6" s="3" t="s">
        <v>10</v>
      </c>
      <c r="B6" s="4">
        <v>46279</v>
      </c>
      <c r="C6" s="1" t="s">
        <v>11</v>
      </c>
      <c r="D6" s="5">
        <v>1</v>
      </c>
      <c r="E6" s="6">
        <v>3150</v>
      </c>
      <c r="F6" s="11">
        <v>3150</v>
      </c>
      <c r="G6" s="11"/>
    </row>
    <row r="7" spans="1:7" ht="15" customHeight="1" x14ac:dyDescent="0.2">
      <c r="A7" s="12"/>
      <c r="B7" s="12"/>
      <c r="C7" s="1" t="s">
        <v>12</v>
      </c>
      <c r="D7" s="5">
        <v>7</v>
      </c>
      <c r="E7" s="6">
        <v>22120</v>
      </c>
      <c r="F7" s="11">
        <v>3160</v>
      </c>
      <c r="G7" s="11"/>
    </row>
    <row r="8" spans="1:7" ht="15" customHeight="1" x14ac:dyDescent="0.2">
      <c r="A8" s="12"/>
      <c r="B8" s="12"/>
      <c r="C8" s="1" t="s">
        <v>13</v>
      </c>
      <c r="D8" s="5">
        <v>19</v>
      </c>
      <c r="E8" s="6">
        <v>67300</v>
      </c>
      <c r="F8" s="11">
        <v>3502.32</v>
      </c>
      <c r="G8" s="11"/>
    </row>
    <row r="9" spans="1:7" ht="15" customHeight="1" x14ac:dyDescent="0.2">
      <c r="A9" s="12"/>
      <c r="B9" s="12"/>
      <c r="C9" s="1" t="s">
        <v>14</v>
      </c>
      <c r="D9" s="5">
        <v>36</v>
      </c>
      <c r="E9" s="6">
        <v>108350</v>
      </c>
      <c r="F9" s="11">
        <v>3009.72</v>
      </c>
      <c r="G9" s="11"/>
    </row>
    <row r="10" spans="1:7" ht="15" customHeight="1" x14ac:dyDescent="0.2">
      <c r="A10" s="12"/>
      <c r="B10" s="12"/>
      <c r="C10" s="1" t="s">
        <v>15</v>
      </c>
      <c r="D10" s="5">
        <v>53</v>
      </c>
      <c r="E10" s="6">
        <v>163920</v>
      </c>
      <c r="F10" s="11">
        <v>3092.83</v>
      </c>
      <c r="G10" s="11"/>
    </row>
    <row r="11" spans="1:7" ht="15" customHeight="1" x14ac:dyDescent="0.2">
      <c r="A11" s="12"/>
      <c r="B11" s="12"/>
      <c r="C11" s="1" t="s">
        <v>16</v>
      </c>
      <c r="D11" s="5">
        <v>51</v>
      </c>
      <c r="E11" s="6">
        <v>175430</v>
      </c>
      <c r="F11" s="11">
        <v>3439.8</v>
      </c>
      <c r="G11" s="11"/>
    </row>
    <row r="12" spans="1:7" ht="15" customHeight="1" x14ac:dyDescent="0.2">
      <c r="A12" s="12"/>
      <c r="B12" s="12"/>
      <c r="C12" s="1" t="s">
        <v>17</v>
      </c>
      <c r="D12" s="5">
        <v>47</v>
      </c>
      <c r="E12" s="6">
        <v>170250</v>
      </c>
      <c r="F12" s="11">
        <v>3622.34</v>
      </c>
      <c r="G12" s="11"/>
    </row>
    <row r="13" spans="1:7" ht="15" customHeight="1" x14ac:dyDescent="0.2">
      <c r="A13" s="12"/>
      <c r="B13" s="12"/>
      <c r="C13" s="1" t="s">
        <v>18</v>
      </c>
      <c r="D13" s="5">
        <v>36</v>
      </c>
      <c r="E13" s="6">
        <v>120450</v>
      </c>
      <c r="F13" s="11">
        <v>3345.83</v>
      </c>
      <c r="G13" s="11"/>
    </row>
    <row r="14" spans="1:7" ht="15" customHeight="1" x14ac:dyDescent="0.2">
      <c r="A14" s="12"/>
      <c r="B14" s="12"/>
      <c r="C14" s="1" t="s">
        <v>19</v>
      </c>
      <c r="D14" s="5">
        <v>33</v>
      </c>
      <c r="E14" s="6">
        <v>144250</v>
      </c>
      <c r="F14" s="11">
        <v>4371.21</v>
      </c>
      <c r="G14" s="11"/>
    </row>
    <row r="15" spans="1:7" ht="15" customHeight="1" x14ac:dyDescent="0.2">
      <c r="A15" s="12"/>
      <c r="B15" s="12"/>
      <c r="C15" s="1" t="s">
        <v>20</v>
      </c>
      <c r="D15" s="5">
        <v>32</v>
      </c>
      <c r="E15" s="6">
        <v>151400</v>
      </c>
      <c r="F15" s="11">
        <v>4684</v>
      </c>
      <c r="G15" s="11"/>
    </row>
    <row r="16" spans="1:7" ht="15" customHeight="1" x14ac:dyDescent="0.2">
      <c r="A16" s="12"/>
      <c r="B16" s="12"/>
      <c r="C16" s="1" t="s">
        <v>21</v>
      </c>
      <c r="D16" s="5">
        <v>15</v>
      </c>
      <c r="E16" s="6">
        <v>60200</v>
      </c>
      <c r="F16" s="11">
        <v>3962.93</v>
      </c>
      <c r="G16" s="11"/>
    </row>
    <row r="17" spans="1:7" ht="15" customHeight="1" x14ac:dyDescent="0.2">
      <c r="A17" s="12"/>
      <c r="B17" s="12"/>
      <c r="C17" s="1" t="s">
        <v>22</v>
      </c>
      <c r="D17" s="5">
        <v>81</v>
      </c>
      <c r="E17" s="6">
        <v>330500</v>
      </c>
      <c r="F17" s="11">
        <v>4070.91</v>
      </c>
      <c r="G17" s="11"/>
    </row>
    <row r="18" spans="1:7" ht="15" customHeight="1" x14ac:dyDescent="0.2">
      <c r="A18" s="12"/>
      <c r="B18" s="12"/>
      <c r="C18" s="1" t="s">
        <v>23</v>
      </c>
      <c r="D18" s="5">
        <v>27</v>
      </c>
      <c r="E18" s="6">
        <v>107250</v>
      </c>
      <c r="F18" s="11">
        <v>3972.22</v>
      </c>
      <c r="G18" s="11"/>
    </row>
    <row r="19" spans="1:7" ht="15" customHeight="1" x14ac:dyDescent="0.2">
      <c r="A19" s="12"/>
      <c r="B19" s="12"/>
      <c r="C19" s="1" t="s">
        <v>24</v>
      </c>
      <c r="D19" s="5">
        <v>14</v>
      </c>
      <c r="E19" s="6">
        <v>73250</v>
      </c>
      <c r="F19" s="11">
        <v>4832.93</v>
      </c>
      <c r="G19" s="11"/>
    </row>
    <row r="20" spans="1:7" ht="15" customHeight="1" x14ac:dyDescent="0.2">
      <c r="A20" s="12"/>
      <c r="B20" s="12"/>
      <c r="C20" s="1" t="s">
        <v>25</v>
      </c>
      <c r="D20" s="5">
        <v>11</v>
      </c>
      <c r="E20" s="6">
        <v>68270</v>
      </c>
      <c r="F20" s="11">
        <v>5458.5</v>
      </c>
      <c r="G20" s="11"/>
    </row>
    <row r="21" spans="1:7" ht="15" customHeight="1" x14ac:dyDescent="0.2">
      <c r="A21" s="12"/>
      <c r="B21" s="13" t="s">
        <v>26</v>
      </c>
      <c r="C21" s="13"/>
      <c r="D21" s="5">
        <v>463</v>
      </c>
      <c r="E21" s="6">
        <v>1766090</v>
      </c>
      <c r="F21" s="11">
        <v>3782.34</v>
      </c>
      <c r="G21" s="11"/>
    </row>
    <row r="22" spans="1:7" ht="15" customHeight="1" x14ac:dyDescent="0.2">
      <c r="A22" s="12"/>
      <c r="B22" s="4">
        <v>46280</v>
      </c>
      <c r="C22" s="1" t="s">
        <v>11</v>
      </c>
      <c r="D22" s="5">
        <v>3</v>
      </c>
      <c r="E22" s="6">
        <v>3850</v>
      </c>
      <c r="F22" s="11">
        <v>1283.33</v>
      </c>
      <c r="G22" s="11"/>
    </row>
    <row r="23" spans="1:7" ht="15" customHeight="1" x14ac:dyDescent="0.2">
      <c r="A23" s="12"/>
      <c r="B23" s="12"/>
      <c r="C23" s="1" t="s">
        <v>12</v>
      </c>
      <c r="D23" s="5">
        <v>4</v>
      </c>
      <c r="E23" s="6">
        <v>12650</v>
      </c>
      <c r="F23" s="11">
        <v>3162.5</v>
      </c>
      <c r="G23" s="11"/>
    </row>
    <row r="24" spans="1:7" ht="15" customHeight="1" x14ac:dyDescent="0.2">
      <c r="A24" s="12"/>
      <c r="B24" s="12"/>
      <c r="C24" s="1" t="s">
        <v>13</v>
      </c>
      <c r="D24" s="5">
        <v>10</v>
      </c>
      <c r="E24" s="6">
        <v>36900</v>
      </c>
      <c r="F24" s="11">
        <v>3690</v>
      </c>
      <c r="G24" s="11"/>
    </row>
    <row r="25" spans="1:7" ht="15" customHeight="1" x14ac:dyDescent="0.2">
      <c r="A25" s="12"/>
      <c r="B25" s="12"/>
      <c r="C25" s="1" t="s">
        <v>14</v>
      </c>
      <c r="D25" s="5">
        <v>51</v>
      </c>
      <c r="E25" s="6">
        <v>175730</v>
      </c>
      <c r="F25" s="11">
        <v>3430.86</v>
      </c>
      <c r="G25" s="11"/>
    </row>
    <row r="26" spans="1:7" ht="15" customHeight="1" x14ac:dyDescent="0.2">
      <c r="A26" s="12"/>
      <c r="B26" s="12"/>
      <c r="C26" s="1" t="s">
        <v>15</v>
      </c>
      <c r="D26" s="5">
        <v>63</v>
      </c>
      <c r="E26" s="6">
        <v>188850</v>
      </c>
      <c r="F26" s="11">
        <v>2985.62</v>
      </c>
      <c r="G26" s="11"/>
    </row>
    <row r="27" spans="1:7" ht="15" customHeight="1" x14ac:dyDescent="0.2">
      <c r="A27" s="12"/>
      <c r="B27" s="12"/>
      <c r="C27" s="1" t="s">
        <v>16</v>
      </c>
      <c r="D27" s="5">
        <v>49</v>
      </c>
      <c r="E27" s="6">
        <v>151650</v>
      </c>
      <c r="F27" s="11">
        <v>3064.04</v>
      </c>
      <c r="G27" s="11"/>
    </row>
    <row r="28" spans="1:7" ht="15" customHeight="1" x14ac:dyDescent="0.2">
      <c r="A28" s="12"/>
      <c r="B28" s="12"/>
      <c r="C28" s="1" t="s">
        <v>17</v>
      </c>
      <c r="D28" s="5">
        <v>44</v>
      </c>
      <c r="E28" s="6">
        <v>149570</v>
      </c>
      <c r="F28" s="11">
        <v>3382.14</v>
      </c>
      <c r="G28" s="11"/>
    </row>
    <row r="29" spans="1:7" ht="15" customHeight="1" x14ac:dyDescent="0.2">
      <c r="A29" s="12"/>
      <c r="B29" s="12"/>
      <c r="C29" s="1" t="s">
        <v>18</v>
      </c>
      <c r="D29" s="5">
        <v>60</v>
      </c>
      <c r="E29" s="6">
        <v>231710</v>
      </c>
      <c r="F29" s="11">
        <v>3861.83</v>
      </c>
      <c r="G29" s="11"/>
    </row>
    <row r="30" spans="1:7" ht="15" customHeight="1" x14ac:dyDescent="0.2">
      <c r="A30" s="12"/>
      <c r="B30" s="12"/>
      <c r="C30" s="1" t="s">
        <v>19</v>
      </c>
      <c r="D30" s="5">
        <v>37</v>
      </c>
      <c r="E30" s="6">
        <v>155600</v>
      </c>
      <c r="F30" s="11">
        <v>4184.97</v>
      </c>
      <c r="G30" s="11"/>
    </row>
    <row r="31" spans="1:7" ht="15" customHeight="1" x14ac:dyDescent="0.2">
      <c r="A31" s="12"/>
      <c r="B31" s="12"/>
      <c r="C31" s="1" t="s">
        <v>20</v>
      </c>
      <c r="D31" s="5">
        <v>44</v>
      </c>
      <c r="E31" s="6">
        <v>195350</v>
      </c>
      <c r="F31" s="11">
        <v>4422.59</v>
      </c>
      <c r="G31" s="11"/>
    </row>
    <row r="32" spans="1:7" ht="15" customHeight="1" x14ac:dyDescent="0.2">
      <c r="A32" s="12"/>
      <c r="B32" s="12"/>
      <c r="C32" s="1" t="s">
        <v>21</v>
      </c>
      <c r="D32" s="5">
        <v>65</v>
      </c>
      <c r="E32" s="6">
        <v>236710</v>
      </c>
      <c r="F32" s="11">
        <v>3641.69</v>
      </c>
      <c r="G32" s="11"/>
    </row>
    <row r="33" spans="1:7" ht="15" customHeight="1" x14ac:dyDescent="0.2">
      <c r="A33" s="12"/>
      <c r="B33" s="12"/>
      <c r="C33" s="1" t="s">
        <v>22</v>
      </c>
      <c r="D33" s="5">
        <v>43</v>
      </c>
      <c r="E33" s="6">
        <v>136250</v>
      </c>
      <c r="F33" s="11">
        <v>3168.6</v>
      </c>
      <c r="G33" s="11"/>
    </row>
    <row r="34" spans="1:7" ht="15" customHeight="1" x14ac:dyDescent="0.2">
      <c r="A34" s="12"/>
      <c r="B34" s="12"/>
      <c r="C34" s="1" t="s">
        <v>23</v>
      </c>
      <c r="D34" s="5">
        <v>33</v>
      </c>
      <c r="E34" s="6">
        <v>102900</v>
      </c>
      <c r="F34" s="11">
        <v>3118.18</v>
      </c>
      <c r="G34" s="11"/>
    </row>
    <row r="35" spans="1:7" ht="15" customHeight="1" x14ac:dyDescent="0.2">
      <c r="A35" s="12"/>
      <c r="B35" s="12"/>
      <c r="C35" s="1" t="s">
        <v>24</v>
      </c>
      <c r="D35" s="5">
        <v>24</v>
      </c>
      <c r="E35" s="6">
        <v>74150</v>
      </c>
      <c r="F35" s="11">
        <v>3089.58</v>
      </c>
      <c r="G35" s="11"/>
    </row>
    <row r="36" spans="1:7" ht="15" customHeight="1" x14ac:dyDescent="0.2">
      <c r="A36" s="12"/>
      <c r="B36" s="12"/>
      <c r="C36" s="1" t="s">
        <v>25</v>
      </c>
      <c r="D36" s="5">
        <v>4</v>
      </c>
      <c r="E36" s="6">
        <v>22850</v>
      </c>
      <c r="F36" s="11">
        <v>5712.5</v>
      </c>
      <c r="G36" s="11"/>
    </row>
    <row r="37" spans="1:7" ht="15" customHeight="1" x14ac:dyDescent="0.2">
      <c r="A37" s="12"/>
      <c r="B37" s="13" t="s">
        <v>27</v>
      </c>
      <c r="C37" s="13"/>
      <c r="D37" s="5">
        <v>534</v>
      </c>
      <c r="E37" s="6">
        <v>1874720</v>
      </c>
      <c r="F37" s="11">
        <v>3500.8</v>
      </c>
      <c r="G37" s="11"/>
    </row>
    <row r="38" spans="1:7" ht="15" customHeight="1" x14ac:dyDescent="0.2">
      <c r="A38" s="12"/>
      <c r="B38" s="4">
        <v>46281</v>
      </c>
      <c r="C38" s="1" t="s">
        <v>11</v>
      </c>
      <c r="D38" s="5">
        <v>3</v>
      </c>
      <c r="E38" s="6">
        <v>9100</v>
      </c>
      <c r="F38" s="11">
        <v>3033.33</v>
      </c>
      <c r="G38" s="11"/>
    </row>
    <row r="39" spans="1:7" ht="15" customHeight="1" x14ac:dyDescent="0.2">
      <c r="A39" s="12"/>
      <c r="B39" s="12"/>
      <c r="C39" s="1" t="s">
        <v>12</v>
      </c>
      <c r="D39" s="5">
        <v>7</v>
      </c>
      <c r="E39" s="6">
        <v>17450</v>
      </c>
      <c r="F39" s="11">
        <v>2492.86</v>
      </c>
      <c r="G39" s="11"/>
    </row>
    <row r="40" spans="1:7" ht="15" customHeight="1" x14ac:dyDescent="0.2">
      <c r="A40" s="12"/>
      <c r="B40" s="12"/>
      <c r="C40" s="1" t="s">
        <v>13</v>
      </c>
      <c r="D40" s="5">
        <v>10</v>
      </c>
      <c r="E40" s="6">
        <v>30650</v>
      </c>
      <c r="F40" s="11">
        <v>3065</v>
      </c>
      <c r="G40" s="11"/>
    </row>
    <row r="41" spans="1:7" ht="15" customHeight="1" x14ac:dyDescent="0.2">
      <c r="A41" s="12"/>
      <c r="B41" s="12"/>
      <c r="C41" s="1" t="s">
        <v>14</v>
      </c>
      <c r="D41" s="5">
        <v>28</v>
      </c>
      <c r="E41" s="6">
        <v>98450</v>
      </c>
      <c r="F41" s="11">
        <v>3516.07</v>
      </c>
      <c r="G41" s="11"/>
    </row>
    <row r="42" spans="1:7" ht="15" customHeight="1" x14ac:dyDescent="0.2">
      <c r="A42" s="12"/>
      <c r="B42" s="12"/>
      <c r="C42" s="1" t="s">
        <v>15</v>
      </c>
      <c r="D42" s="5">
        <v>36</v>
      </c>
      <c r="E42" s="6">
        <v>131010</v>
      </c>
      <c r="F42" s="11">
        <v>3639.17</v>
      </c>
      <c r="G42" s="11"/>
    </row>
    <row r="43" spans="1:7" ht="15" customHeight="1" x14ac:dyDescent="0.2">
      <c r="A43" s="12"/>
      <c r="B43" s="12"/>
      <c r="C43" s="1" t="s">
        <v>16</v>
      </c>
      <c r="D43" s="5">
        <v>37</v>
      </c>
      <c r="E43" s="6">
        <v>99050</v>
      </c>
      <c r="F43" s="11">
        <v>2677.03</v>
      </c>
      <c r="G43" s="11"/>
    </row>
    <row r="44" spans="1:7" ht="15" customHeight="1" x14ac:dyDescent="0.2">
      <c r="A44" s="12"/>
      <c r="B44" s="12"/>
      <c r="C44" s="1" t="s">
        <v>17</v>
      </c>
      <c r="D44" s="5">
        <v>31</v>
      </c>
      <c r="E44" s="6">
        <v>86770</v>
      </c>
      <c r="F44" s="11">
        <v>2799.03</v>
      </c>
      <c r="G44" s="11"/>
    </row>
    <row r="45" spans="1:7" ht="15" customHeight="1" x14ac:dyDescent="0.2">
      <c r="A45" s="12"/>
      <c r="B45" s="12"/>
      <c r="C45" s="1" t="s">
        <v>18</v>
      </c>
      <c r="D45" s="5">
        <v>26</v>
      </c>
      <c r="E45" s="6">
        <v>94750</v>
      </c>
      <c r="F45" s="11">
        <v>3644.23</v>
      </c>
      <c r="G45" s="11"/>
    </row>
    <row r="46" spans="1:7" ht="15" customHeight="1" x14ac:dyDescent="0.2">
      <c r="A46" s="12"/>
      <c r="B46" s="12"/>
      <c r="C46" s="1" t="s">
        <v>19</v>
      </c>
      <c r="D46" s="5">
        <v>35</v>
      </c>
      <c r="E46" s="6">
        <v>101350</v>
      </c>
      <c r="F46" s="11">
        <v>2895.71</v>
      </c>
      <c r="G46" s="11"/>
    </row>
    <row r="47" spans="1:7" ht="15" customHeight="1" x14ac:dyDescent="0.2">
      <c r="A47" s="12"/>
      <c r="B47" s="12"/>
      <c r="C47" s="1" t="s">
        <v>20</v>
      </c>
      <c r="D47" s="5">
        <v>43</v>
      </c>
      <c r="E47" s="6">
        <v>178350</v>
      </c>
      <c r="F47" s="11">
        <v>4147.67</v>
      </c>
      <c r="G47" s="11"/>
    </row>
    <row r="48" spans="1:7" ht="15" customHeight="1" x14ac:dyDescent="0.2">
      <c r="A48" s="12"/>
      <c r="B48" s="12"/>
      <c r="C48" s="1" t="s">
        <v>21</v>
      </c>
      <c r="D48" s="5">
        <v>51</v>
      </c>
      <c r="E48" s="6">
        <v>149720</v>
      </c>
      <c r="F48" s="11">
        <v>2935.69</v>
      </c>
      <c r="G48" s="11"/>
    </row>
    <row r="49" spans="1:7" ht="15" customHeight="1" x14ac:dyDescent="0.2">
      <c r="A49" s="12"/>
      <c r="B49" s="12"/>
      <c r="C49" s="1" t="s">
        <v>22</v>
      </c>
      <c r="D49" s="5">
        <v>38</v>
      </c>
      <c r="E49" s="6">
        <v>133110</v>
      </c>
      <c r="F49" s="11">
        <v>3502.89</v>
      </c>
      <c r="G49" s="11"/>
    </row>
    <row r="50" spans="1:7" ht="15" customHeight="1" x14ac:dyDescent="0.2">
      <c r="A50" s="12"/>
      <c r="B50" s="12"/>
      <c r="C50" s="1" t="s">
        <v>23</v>
      </c>
      <c r="D50" s="5">
        <v>44</v>
      </c>
      <c r="E50" s="6">
        <v>147550</v>
      </c>
      <c r="F50" s="11">
        <v>3353.41</v>
      </c>
      <c r="G50" s="11"/>
    </row>
    <row r="51" spans="1:7" ht="15" customHeight="1" x14ac:dyDescent="0.2">
      <c r="A51" s="12"/>
      <c r="B51" s="12"/>
      <c r="C51" s="1" t="s">
        <v>24</v>
      </c>
      <c r="D51" s="5">
        <v>22</v>
      </c>
      <c r="E51" s="6">
        <v>50850</v>
      </c>
      <c r="F51" s="11">
        <v>2311.36</v>
      </c>
      <c r="G51" s="11"/>
    </row>
    <row r="52" spans="1:7" ht="15" customHeight="1" x14ac:dyDescent="0.2">
      <c r="A52" s="12"/>
      <c r="B52" s="12"/>
      <c r="C52" s="1" t="s">
        <v>25</v>
      </c>
      <c r="D52" s="5">
        <v>2</v>
      </c>
      <c r="E52" s="6">
        <v>6700</v>
      </c>
      <c r="F52" s="11">
        <v>3350</v>
      </c>
      <c r="G52" s="11"/>
    </row>
    <row r="53" spans="1:7" ht="15" customHeight="1" x14ac:dyDescent="0.2">
      <c r="A53" s="12"/>
      <c r="B53" s="13" t="s">
        <v>28</v>
      </c>
      <c r="C53" s="13"/>
      <c r="D53" s="5">
        <f>SUM(D38:D52)</f>
        <v>413</v>
      </c>
      <c r="E53" s="6">
        <v>1334860</v>
      </c>
      <c r="F53" s="11">
        <v>3232.11</v>
      </c>
      <c r="G53" s="11"/>
    </row>
    <row r="54" spans="1:7" ht="15" customHeight="1" x14ac:dyDescent="0.2">
      <c r="A54" s="12"/>
      <c r="B54" s="4">
        <v>46282</v>
      </c>
      <c r="C54" s="1" t="s">
        <v>29</v>
      </c>
      <c r="D54" s="5">
        <v>1</v>
      </c>
      <c r="E54" s="6">
        <v>1100</v>
      </c>
      <c r="F54" s="11">
        <v>1100</v>
      </c>
      <c r="G54" s="11"/>
    </row>
    <row r="55" spans="1:7" ht="15" customHeight="1" x14ac:dyDescent="0.2">
      <c r="A55" s="12"/>
      <c r="B55" s="12"/>
      <c r="C55" s="1" t="s">
        <v>12</v>
      </c>
      <c r="D55" s="5">
        <v>2</v>
      </c>
      <c r="E55" s="6">
        <v>4150</v>
      </c>
      <c r="F55" s="11">
        <v>2075</v>
      </c>
      <c r="G55" s="11"/>
    </row>
    <row r="56" spans="1:7" ht="15" customHeight="1" x14ac:dyDescent="0.2">
      <c r="A56" s="12"/>
      <c r="B56" s="12"/>
      <c r="C56" s="1" t="s">
        <v>13</v>
      </c>
      <c r="D56" s="5">
        <v>9</v>
      </c>
      <c r="E56" s="6">
        <v>23750</v>
      </c>
      <c r="F56" s="11">
        <v>2638.89</v>
      </c>
      <c r="G56" s="11"/>
    </row>
    <row r="57" spans="1:7" ht="15" customHeight="1" x14ac:dyDescent="0.2">
      <c r="A57" s="12"/>
      <c r="B57" s="12"/>
      <c r="C57" s="1" t="s">
        <v>14</v>
      </c>
      <c r="D57" s="5">
        <v>35</v>
      </c>
      <c r="E57" s="6">
        <v>99250</v>
      </c>
      <c r="F57" s="11">
        <v>2835.71</v>
      </c>
      <c r="G57" s="11"/>
    </row>
    <row r="58" spans="1:7" ht="15" customHeight="1" x14ac:dyDescent="0.2">
      <c r="A58" s="12"/>
      <c r="B58" s="12"/>
      <c r="C58" s="1" t="s">
        <v>15</v>
      </c>
      <c r="D58" s="5">
        <v>59</v>
      </c>
      <c r="E58" s="6">
        <v>173100</v>
      </c>
      <c r="F58" s="11">
        <v>2933.9</v>
      </c>
      <c r="G58" s="11"/>
    </row>
    <row r="59" spans="1:7" ht="15" customHeight="1" x14ac:dyDescent="0.2">
      <c r="A59" s="12"/>
      <c r="B59" s="12"/>
      <c r="C59" s="1" t="s">
        <v>16</v>
      </c>
      <c r="D59" s="5">
        <v>31</v>
      </c>
      <c r="E59" s="6">
        <v>116450</v>
      </c>
      <c r="F59" s="11">
        <v>3756.45</v>
      </c>
      <c r="G59" s="11"/>
    </row>
    <row r="60" spans="1:7" ht="15" customHeight="1" x14ac:dyDescent="0.2">
      <c r="A60" s="12"/>
      <c r="B60" s="12"/>
      <c r="C60" s="1" t="s">
        <v>17</v>
      </c>
      <c r="D60" s="5">
        <v>27</v>
      </c>
      <c r="E60" s="6">
        <v>94600</v>
      </c>
      <c r="F60" s="11">
        <v>3503.7</v>
      </c>
      <c r="G60" s="11"/>
    </row>
    <row r="61" spans="1:7" ht="15" customHeight="1" x14ac:dyDescent="0.2">
      <c r="A61" s="12"/>
      <c r="B61" s="12"/>
      <c r="C61" s="1" t="s">
        <v>18</v>
      </c>
      <c r="D61" s="5">
        <v>30</v>
      </c>
      <c r="E61" s="6">
        <v>124850</v>
      </c>
      <c r="F61" s="11">
        <v>4161.67</v>
      </c>
      <c r="G61" s="11"/>
    </row>
    <row r="62" spans="1:7" ht="15" customHeight="1" x14ac:dyDescent="0.2">
      <c r="A62" s="12"/>
      <c r="B62" s="12"/>
      <c r="C62" s="1" t="s">
        <v>19</v>
      </c>
      <c r="D62" s="5">
        <v>33</v>
      </c>
      <c r="E62" s="6">
        <v>119950</v>
      </c>
      <c r="F62" s="11">
        <v>3634.85</v>
      </c>
      <c r="G62" s="11"/>
    </row>
    <row r="63" spans="1:7" ht="15" customHeight="1" x14ac:dyDescent="0.2">
      <c r="A63" s="12"/>
      <c r="B63" s="12"/>
      <c r="C63" s="1" t="s">
        <v>20</v>
      </c>
      <c r="D63" s="5">
        <v>52</v>
      </c>
      <c r="E63" s="6">
        <v>184910</v>
      </c>
      <c r="F63" s="11">
        <v>3555.96</v>
      </c>
      <c r="G63" s="11"/>
    </row>
    <row r="64" spans="1:7" ht="15" customHeight="1" x14ac:dyDescent="0.2">
      <c r="A64" s="12"/>
      <c r="B64" s="12"/>
      <c r="C64" s="1" t="s">
        <v>21</v>
      </c>
      <c r="D64" s="5">
        <v>47</v>
      </c>
      <c r="E64" s="6">
        <v>144960</v>
      </c>
      <c r="F64" s="11">
        <v>3084.26</v>
      </c>
      <c r="G64" s="11"/>
    </row>
    <row r="65" spans="1:7" ht="15" customHeight="1" x14ac:dyDescent="0.2">
      <c r="A65" s="12"/>
      <c r="B65" s="12"/>
      <c r="C65" s="1" t="s">
        <v>22</v>
      </c>
      <c r="D65" s="5">
        <v>58</v>
      </c>
      <c r="E65" s="6">
        <v>211920</v>
      </c>
      <c r="F65" s="11">
        <v>3653.79</v>
      </c>
      <c r="G65" s="11"/>
    </row>
    <row r="66" spans="1:7" ht="15" customHeight="1" x14ac:dyDescent="0.2">
      <c r="A66" s="12"/>
      <c r="B66" s="12"/>
      <c r="C66" s="1" t="s">
        <v>23</v>
      </c>
      <c r="D66" s="5">
        <v>22</v>
      </c>
      <c r="E66" s="6">
        <v>60910</v>
      </c>
      <c r="F66" s="11">
        <v>2768.64</v>
      </c>
      <c r="G66" s="11"/>
    </row>
    <row r="67" spans="1:7" ht="15" customHeight="1" x14ac:dyDescent="0.2">
      <c r="A67" s="12"/>
      <c r="B67" s="12"/>
      <c r="C67" s="1" t="s">
        <v>24</v>
      </c>
      <c r="D67" s="5">
        <v>16</v>
      </c>
      <c r="E67" s="6">
        <v>52900</v>
      </c>
      <c r="F67" s="11">
        <v>3306.25</v>
      </c>
      <c r="G67" s="11"/>
    </row>
    <row r="68" spans="1:7" ht="15" customHeight="1" x14ac:dyDescent="0.2">
      <c r="A68" s="12"/>
      <c r="B68" s="12"/>
      <c r="C68" s="1" t="s">
        <v>25</v>
      </c>
      <c r="D68" s="5">
        <v>6</v>
      </c>
      <c r="E68" s="6">
        <v>26700</v>
      </c>
      <c r="F68" s="11">
        <v>4450</v>
      </c>
      <c r="G68" s="11"/>
    </row>
    <row r="69" spans="1:7" ht="15" customHeight="1" x14ac:dyDescent="0.2">
      <c r="A69" s="12"/>
      <c r="B69" s="13" t="s">
        <v>30</v>
      </c>
      <c r="C69" s="13"/>
      <c r="D69" s="5">
        <v>428</v>
      </c>
      <c r="E69" s="6">
        <v>1439500</v>
      </c>
      <c r="F69" s="11">
        <v>3363.32</v>
      </c>
      <c r="G69" s="11"/>
    </row>
    <row r="70" spans="1:7" ht="15" customHeight="1" x14ac:dyDescent="0.2">
      <c r="A70" s="12"/>
      <c r="B70" s="4">
        <v>46283</v>
      </c>
      <c r="C70" s="1" t="s">
        <v>11</v>
      </c>
      <c r="D70" s="5">
        <v>1</v>
      </c>
      <c r="E70" s="6">
        <v>10</v>
      </c>
      <c r="F70" s="11">
        <v>10</v>
      </c>
      <c r="G70" s="11"/>
    </row>
    <row r="71" spans="1:7" ht="15" customHeight="1" x14ac:dyDescent="0.2">
      <c r="A71" s="12"/>
      <c r="B71" s="12"/>
      <c r="C71" s="1" t="s">
        <v>12</v>
      </c>
      <c r="D71" s="5">
        <v>4</v>
      </c>
      <c r="E71" s="6">
        <v>10350</v>
      </c>
      <c r="F71" s="11">
        <v>2587.5</v>
      </c>
      <c r="G71" s="11"/>
    </row>
    <row r="72" spans="1:7" ht="15" customHeight="1" x14ac:dyDescent="0.2">
      <c r="A72" s="12"/>
      <c r="B72" s="12"/>
      <c r="C72" s="1" t="s">
        <v>13</v>
      </c>
      <c r="D72" s="5">
        <v>9</v>
      </c>
      <c r="E72" s="6">
        <v>29400</v>
      </c>
      <c r="F72" s="11">
        <v>3266.67</v>
      </c>
      <c r="G72" s="11"/>
    </row>
    <row r="73" spans="1:7" ht="15" customHeight="1" x14ac:dyDescent="0.2">
      <c r="A73" s="12"/>
      <c r="B73" s="12"/>
      <c r="C73" s="1" t="s">
        <v>14</v>
      </c>
      <c r="D73" s="5">
        <v>28</v>
      </c>
      <c r="E73" s="6">
        <v>102300</v>
      </c>
      <c r="F73" s="11">
        <v>3653.57</v>
      </c>
      <c r="G73" s="11"/>
    </row>
    <row r="74" spans="1:7" ht="15" customHeight="1" x14ac:dyDescent="0.2">
      <c r="A74" s="12"/>
      <c r="B74" s="12"/>
      <c r="C74" s="1" t="s">
        <v>15</v>
      </c>
      <c r="D74" s="5">
        <v>63</v>
      </c>
      <c r="E74" s="6">
        <v>189690</v>
      </c>
      <c r="F74" s="11">
        <v>3010.95</v>
      </c>
      <c r="G74" s="11"/>
    </row>
    <row r="75" spans="1:7" ht="15" customHeight="1" x14ac:dyDescent="0.2">
      <c r="A75" s="12"/>
      <c r="B75" s="12"/>
      <c r="C75" s="1" t="s">
        <v>16</v>
      </c>
      <c r="D75" s="5">
        <v>54</v>
      </c>
      <c r="E75" s="6">
        <v>170800</v>
      </c>
      <c r="F75" s="11">
        <v>3162.96</v>
      </c>
      <c r="G75" s="11"/>
    </row>
    <row r="76" spans="1:7" ht="15" customHeight="1" x14ac:dyDescent="0.2">
      <c r="A76" s="12"/>
      <c r="B76" s="12"/>
      <c r="C76" s="1" t="s">
        <v>17</v>
      </c>
      <c r="D76" s="5">
        <v>46</v>
      </c>
      <c r="E76" s="6">
        <v>140900</v>
      </c>
      <c r="F76" s="11">
        <v>3063.04</v>
      </c>
      <c r="G76" s="11"/>
    </row>
    <row r="77" spans="1:7" ht="15" customHeight="1" x14ac:dyDescent="0.2">
      <c r="A77" s="12"/>
      <c r="B77" s="12"/>
      <c r="C77" s="1" t="s">
        <v>18</v>
      </c>
      <c r="D77" s="5">
        <v>37</v>
      </c>
      <c r="E77" s="6">
        <v>102960</v>
      </c>
      <c r="F77" s="11">
        <v>2782.7</v>
      </c>
      <c r="G77" s="11"/>
    </row>
    <row r="78" spans="1:7" ht="15" customHeight="1" x14ac:dyDescent="0.2">
      <c r="A78" s="12"/>
      <c r="B78" s="12"/>
      <c r="C78" s="1" t="s">
        <v>19</v>
      </c>
      <c r="D78" s="5">
        <v>47</v>
      </c>
      <c r="E78" s="6">
        <v>136800</v>
      </c>
      <c r="F78" s="11">
        <v>2910.64</v>
      </c>
      <c r="G78" s="11"/>
    </row>
    <row r="79" spans="1:7" ht="15" customHeight="1" x14ac:dyDescent="0.2">
      <c r="A79" s="12"/>
      <c r="B79" s="12"/>
      <c r="C79" s="1" t="s">
        <v>20</v>
      </c>
      <c r="D79" s="5">
        <v>51</v>
      </c>
      <c r="E79" s="6">
        <v>176510</v>
      </c>
      <c r="F79" s="11">
        <v>3460.98</v>
      </c>
      <c r="G79" s="11"/>
    </row>
    <row r="80" spans="1:7" ht="15" customHeight="1" x14ac:dyDescent="0.2">
      <c r="A80" s="12"/>
      <c r="B80" s="12"/>
      <c r="C80" s="1" t="s">
        <v>21</v>
      </c>
      <c r="D80" s="5">
        <v>60</v>
      </c>
      <c r="E80" s="6">
        <v>222360</v>
      </c>
      <c r="F80" s="11">
        <v>3706</v>
      </c>
      <c r="G80" s="11"/>
    </row>
    <row r="81" spans="1:7" ht="15" customHeight="1" x14ac:dyDescent="0.2">
      <c r="A81" s="12"/>
      <c r="B81" s="12"/>
      <c r="C81" s="1" t="s">
        <v>22</v>
      </c>
      <c r="D81" s="5">
        <v>62</v>
      </c>
      <c r="E81" s="6">
        <v>264650</v>
      </c>
      <c r="F81" s="11">
        <v>4268.55</v>
      </c>
      <c r="G81" s="11"/>
    </row>
    <row r="82" spans="1:7" ht="15" customHeight="1" x14ac:dyDescent="0.2">
      <c r="A82" s="12"/>
      <c r="B82" s="12"/>
      <c r="C82" s="1" t="s">
        <v>23</v>
      </c>
      <c r="D82" s="5">
        <v>37</v>
      </c>
      <c r="E82" s="6">
        <v>131010</v>
      </c>
      <c r="F82" s="11">
        <v>3540.81</v>
      </c>
      <c r="G82" s="11"/>
    </row>
    <row r="83" spans="1:7" ht="15" customHeight="1" x14ac:dyDescent="0.2">
      <c r="A83" s="12"/>
      <c r="B83" s="12"/>
      <c r="C83" s="1" t="s">
        <v>24</v>
      </c>
      <c r="D83" s="5">
        <v>26</v>
      </c>
      <c r="E83" s="6">
        <v>60000</v>
      </c>
      <c r="F83" s="11">
        <v>2307.69</v>
      </c>
      <c r="G83" s="11"/>
    </row>
    <row r="84" spans="1:7" ht="15" customHeight="1" x14ac:dyDescent="0.2">
      <c r="A84" s="12"/>
      <c r="B84" s="12"/>
      <c r="C84" s="1" t="s">
        <v>25</v>
      </c>
      <c r="D84" s="5">
        <v>5</v>
      </c>
      <c r="E84" s="6">
        <v>10750</v>
      </c>
      <c r="F84" s="11">
        <v>2150</v>
      </c>
      <c r="G84" s="11"/>
    </row>
    <row r="85" spans="1:7" ht="15" customHeight="1" x14ac:dyDescent="0.2">
      <c r="A85" s="12"/>
      <c r="B85" s="13" t="s">
        <v>31</v>
      </c>
      <c r="C85" s="13"/>
      <c r="D85" s="5">
        <v>530</v>
      </c>
      <c r="E85" s="6">
        <v>1748490</v>
      </c>
      <c r="F85" s="11">
        <v>3299.04</v>
      </c>
      <c r="G85" s="11"/>
    </row>
    <row r="86" spans="1:7" ht="15" customHeight="1" x14ac:dyDescent="0.2">
      <c r="A86" s="12"/>
      <c r="B86" s="4">
        <v>46284</v>
      </c>
      <c r="C86" s="1" t="s">
        <v>11</v>
      </c>
      <c r="D86" s="5">
        <v>1</v>
      </c>
      <c r="E86" s="6">
        <v>10700</v>
      </c>
      <c r="F86" s="11">
        <v>10700</v>
      </c>
      <c r="G86" s="11"/>
    </row>
    <row r="87" spans="1:7" ht="15" customHeight="1" x14ac:dyDescent="0.2">
      <c r="A87" s="12"/>
      <c r="B87" s="12"/>
      <c r="C87" s="1" t="s">
        <v>12</v>
      </c>
      <c r="D87" s="5">
        <v>6</v>
      </c>
      <c r="E87" s="6">
        <v>20600</v>
      </c>
      <c r="F87" s="11">
        <v>3433.33</v>
      </c>
      <c r="G87" s="11"/>
    </row>
    <row r="88" spans="1:7" ht="15" customHeight="1" x14ac:dyDescent="0.2">
      <c r="A88" s="12"/>
      <c r="B88" s="12"/>
      <c r="C88" s="1" t="s">
        <v>13</v>
      </c>
      <c r="D88" s="5">
        <v>14</v>
      </c>
      <c r="E88" s="6">
        <v>45550</v>
      </c>
      <c r="F88" s="11">
        <v>3253.57</v>
      </c>
      <c r="G88" s="11"/>
    </row>
    <row r="89" spans="1:7" ht="15" customHeight="1" x14ac:dyDescent="0.2">
      <c r="A89" s="12"/>
      <c r="B89" s="12"/>
      <c r="C89" s="1" t="s">
        <v>14</v>
      </c>
      <c r="D89" s="5">
        <v>31</v>
      </c>
      <c r="E89" s="6">
        <v>129800</v>
      </c>
      <c r="F89" s="11">
        <v>4187.1000000000004</v>
      </c>
      <c r="G89" s="11"/>
    </row>
    <row r="90" spans="1:7" ht="15" customHeight="1" x14ac:dyDescent="0.2">
      <c r="A90" s="12"/>
      <c r="B90" s="12"/>
      <c r="C90" s="1" t="s">
        <v>15</v>
      </c>
      <c r="D90" s="5">
        <v>52</v>
      </c>
      <c r="E90" s="6">
        <v>179750</v>
      </c>
      <c r="F90" s="11">
        <v>3456.73</v>
      </c>
      <c r="G90" s="11"/>
    </row>
    <row r="91" spans="1:7" ht="15" customHeight="1" x14ac:dyDescent="0.2">
      <c r="A91" s="12"/>
      <c r="B91" s="12"/>
      <c r="C91" s="1" t="s">
        <v>16</v>
      </c>
      <c r="D91" s="5">
        <v>68</v>
      </c>
      <c r="E91" s="6">
        <v>218860</v>
      </c>
      <c r="F91" s="11">
        <v>3218.53</v>
      </c>
      <c r="G91" s="11"/>
    </row>
    <row r="92" spans="1:7" ht="15" customHeight="1" x14ac:dyDescent="0.2">
      <c r="A92" s="12"/>
      <c r="B92" s="12"/>
      <c r="C92" s="1" t="s">
        <v>17</v>
      </c>
      <c r="D92" s="5">
        <v>77</v>
      </c>
      <c r="E92" s="6">
        <v>245160</v>
      </c>
      <c r="F92" s="11">
        <v>3183.9</v>
      </c>
      <c r="G92" s="11"/>
    </row>
    <row r="93" spans="1:7" ht="15" customHeight="1" x14ac:dyDescent="0.2">
      <c r="A93" s="12"/>
      <c r="B93" s="12"/>
      <c r="C93" s="1" t="s">
        <v>18</v>
      </c>
      <c r="D93" s="5">
        <v>79</v>
      </c>
      <c r="E93" s="6">
        <v>316920</v>
      </c>
      <c r="F93" s="11">
        <v>4011.65</v>
      </c>
      <c r="G93" s="11"/>
    </row>
    <row r="94" spans="1:7" ht="15" customHeight="1" x14ac:dyDescent="0.2">
      <c r="A94" s="12"/>
      <c r="B94" s="12"/>
      <c r="C94" s="1" t="s">
        <v>19</v>
      </c>
      <c r="D94" s="5">
        <v>82</v>
      </c>
      <c r="E94" s="6">
        <v>300250</v>
      </c>
      <c r="F94" s="11">
        <v>3661.59</v>
      </c>
      <c r="G94" s="11"/>
    </row>
    <row r="95" spans="1:7" ht="15" customHeight="1" x14ac:dyDescent="0.2">
      <c r="A95" s="12"/>
      <c r="B95" s="12"/>
      <c r="C95" s="1" t="s">
        <v>20</v>
      </c>
      <c r="D95" s="5">
        <v>84</v>
      </c>
      <c r="E95" s="6">
        <v>296760</v>
      </c>
      <c r="F95" s="11">
        <v>3532.86</v>
      </c>
      <c r="G95" s="11"/>
    </row>
    <row r="96" spans="1:7" ht="15" customHeight="1" x14ac:dyDescent="0.2">
      <c r="A96" s="12"/>
      <c r="B96" s="12"/>
      <c r="C96" s="1" t="s">
        <v>21</v>
      </c>
      <c r="D96" s="5">
        <v>84</v>
      </c>
      <c r="E96" s="6">
        <v>289690</v>
      </c>
      <c r="F96" s="11">
        <v>3448.69</v>
      </c>
      <c r="G96" s="11"/>
    </row>
    <row r="97" spans="1:7" ht="15" customHeight="1" x14ac:dyDescent="0.2">
      <c r="A97" s="12"/>
      <c r="B97" s="12"/>
      <c r="C97" s="1" t="s">
        <v>22</v>
      </c>
      <c r="D97" s="5">
        <v>72</v>
      </c>
      <c r="E97" s="6">
        <v>217960</v>
      </c>
      <c r="F97" s="11">
        <v>3027.22</v>
      </c>
      <c r="G97" s="11"/>
    </row>
    <row r="98" spans="1:7" ht="15" customHeight="1" x14ac:dyDescent="0.2">
      <c r="A98" s="12"/>
      <c r="B98" s="12"/>
      <c r="C98" s="1" t="s">
        <v>23</v>
      </c>
      <c r="D98" s="5">
        <v>55</v>
      </c>
      <c r="E98" s="6">
        <v>177360</v>
      </c>
      <c r="F98" s="11">
        <v>3224.73</v>
      </c>
      <c r="G98" s="11"/>
    </row>
    <row r="99" spans="1:7" ht="15" customHeight="1" x14ac:dyDescent="0.2">
      <c r="A99" s="12"/>
      <c r="B99" s="12"/>
      <c r="C99" s="1" t="s">
        <v>24</v>
      </c>
      <c r="D99" s="5">
        <v>24</v>
      </c>
      <c r="E99" s="6">
        <v>78350</v>
      </c>
      <c r="F99" s="11">
        <v>3264.58</v>
      </c>
      <c r="G99" s="11"/>
    </row>
    <row r="100" spans="1:7" ht="15" customHeight="1" x14ac:dyDescent="0.2">
      <c r="A100" s="12"/>
      <c r="B100" s="12"/>
      <c r="C100" s="1" t="s">
        <v>25</v>
      </c>
      <c r="D100" s="5">
        <v>7</v>
      </c>
      <c r="E100" s="6">
        <v>31650</v>
      </c>
      <c r="F100" s="11">
        <v>4521.43</v>
      </c>
      <c r="G100" s="11"/>
    </row>
    <row r="101" spans="1:7" ht="15" customHeight="1" x14ac:dyDescent="0.2">
      <c r="A101" s="12"/>
      <c r="B101" s="13" t="s">
        <v>32</v>
      </c>
      <c r="C101" s="13"/>
      <c r="D101" s="5">
        <v>736</v>
      </c>
      <c r="E101" s="6">
        <v>2559360</v>
      </c>
      <c r="F101" s="11">
        <v>3477.39</v>
      </c>
      <c r="G101" s="11"/>
    </row>
    <row r="102" spans="1:7" ht="15" customHeight="1" x14ac:dyDescent="0.2">
      <c r="A102" s="12"/>
      <c r="B102" s="4">
        <v>46285</v>
      </c>
      <c r="C102" s="1" t="s">
        <v>11</v>
      </c>
      <c r="D102" s="5">
        <v>3</v>
      </c>
      <c r="E102" s="6">
        <v>6100</v>
      </c>
      <c r="F102" s="11">
        <v>2033.33</v>
      </c>
      <c r="G102" s="11"/>
    </row>
    <row r="103" spans="1:7" ht="15" customHeight="1" x14ac:dyDescent="0.2">
      <c r="A103" s="12"/>
      <c r="B103" s="12"/>
      <c r="C103" s="1" t="s">
        <v>12</v>
      </c>
      <c r="D103" s="5">
        <v>7</v>
      </c>
      <c r="E103" s="6">
        <v>55550</v>
      </c>
      <c r="F103" s="11">
        <v>7935.71</v>
      </c>
      <c r="G103" s="11"/>
    </row>
    <row r="104" spans="1:7" ht="15" customHeight="1" x14ac:dyDescent="0.2">
      <c r="A104" s="12"/>
      <c r="B104" s="12"/>
      <c r="C104" s="1" t="s">
        <v>13</v>
      </c>
      <c r="D104" s="5">
        <v>17</v>
      </c>
      <c r="E104" s="6">
        <v>65350</v>
      </c>
      <c r="F104" s="11">
        <v>3844.12</v>
      </c>
      <c r="G104" s="11"/>
    </row>
    <row r="105" spans="1:7" ht="15" customHeight="1" x14ac:dyDescent="0.2">
      <c r="A105" s="12"/>
      <c r="B105" s="12"/>
      <c r="C105" s="1" t="s">
        <v>14</v>
      </c>
      <c r="D105" s="5">
        <v>27</v>
      </c>
      <c r="E105" s="6">
        <v>105650</v>
      </c>
      <c r="F105" s="11">
        <v>3912.96</v>
      </c>
      <c r="G105" s="11"/>
    </row>
    <row r="106" spans="1:7" ht="15" customHeight="1" x14ac:dyDescent="0.2">
      <c r="A106" s="12"/>
      <c r="B106" s="12"/>
      <c r="C106" s="1" t="s">
        <v>15</v>
      </c>
      <c r="D106" s="5">
        <v>52</v>
      </c>
      <c r="E106" s="6">
        <v>200400</v>
      </c>
      <c r="F106" s="11">
        <v>3853.85</v>
      </c>
      <c r="G106" s="11"/>
    </row>
    <row r="107" spans="1:7" ht="15" customHeight="1" x14ac:dyDescent="0.2">
      <c r="A107" s="12"/>
      <c r="B107" s="12"/>
      <c r="C107" s="1" t="s">
        <v>16</v>
      </c>
      <c r="D107" s="5">
        <v>58</v>
      </c>
      <c r="E107" s="6">
        <v>209300</v>
      </c>
      <c r="F107" s="11">
        <v>3608.62</v>
      </c>
      <c r="G107" s="11"/>
    </row>
    <row r="108" spans="1:7" ht="15" customHeight="1" x14ac:dyDescent="0.2">
      <c r="A108" s="12"/>
      <c r="B108" s="12"/>
      <c r="C108" s="1" t="s">
        <v>17</v>
      </c>
      <c r="D108" s="5">
        <v>81</v>
      </c>
      <c r="E108" s="6">
        <v>305600</v>
      </c>
      <c r="F108" s="11">
        <v>3772.84</v>
      </c>
      <c r="G108" s="11"/>
    </row>
    <row r="109" spans="1:7" ht="15" customHeight="1" x14ac:dyDescent="0.2">
      <c r="A109" s="12"/>
      <c r="B109" s="12"/>
      <c r="C109" s="1" t="s">
        <v>18</v>
      </c>
      <c r="D109" s="5">
        <v>78</v>
      </c>
      <c r="E109" s="6">
        <v>280250</v>
      </c>
      <c r="F109" s="11">
        <v>3592.95</v>
      </c>
      <c r="G109" s="11"/>
    </row>
    <row r="110" spans="1:7" ht="15" customHeight="1" x14ac:dyDescent="0.2">
      <c r="A110" s="12"/>
      <c r="B110" s="12"/>
      <c r="C110" s="1" t="s">
        <v>19</v>
      </c>
      <c r="D110" s="5">
        <v>56</v>
      </c>
      <c r="E110" s="6">
        <v>202510</v>
      </c>
      <c r="F110" s="11">
        <v>3616.25</v>
      </c>
      <c r="G110" s="11"/>
    </row>
    <row r="111" spans="1:7" ht="15" customHeight="1" x14ac:dyDescent="0.2">
      <c r="A111" s="12"/>
      <c r="B111" s="12"/>
      <c r="C111" s="1" t="s">
        <v>20</v>
      </c>
      <c r="D111" s="5">
        <v>61</v>
      </c>
      <c r="E111" s="6">
        <v>205010</v>
      </c>
      <c r="F111" s="11">
        <v>3360.82</v>
      </c>
      <c r="G111" s="11"/>
    </row>
    <row r="112" spans="1:7" ht="15" customHeight="1" x14ac:dyDescent="0.2">
      <c r="A112" s="12"/>
      <c r="B112" s="12"/>
      <c r="C112" s="1" t="s">
        <v>21</v>
      </c>
      <c r="D112" s="5">
        <v>57</v>
      </c>
      <c r="E112" s="6">
        <v>199350</v>
      </c>
      <c r="F112" s="11">
        <v>3497.37</v>
      </c>
      <c r="G112" s="11"/>
    </row>
    <row r="113" spans="1:7" ht="15" customHeight="1" x14ac:dyDescent="0.2">
      <c r="A113" s="12"/>
      <c r="B113" s="12"/>
      <c r="C113" s="1" t="s">
        <v>22</v>
      </c>
      <c r="D113" s="5">
        <v>61</v>
      </c>
      <c r="E113" s="6">
        <v>213900</v>
      </c>
      <c r="F113" s="11">
        <v>3506.56</v>
      </c>
      <c r="G113" s="11"/>
    </row>
    <row r="114" spans="1:7" ht="15" customHeight="1" x14ac:dyDescent="0.2">
      <c r="A114" s="12"/>
      <c r="B114" s="12"/>
      <c r="C114" s="1" t="s">
        <v>23</v>
      </c>
      <c r="D114" s="5">
        <v>36</v>
      </c>
      <c r="E114" s="6">
        <v>132960</v>
      </c>
      <c r="F114" s="11">
        <v>3693.33</v>
      </c>
      <c r="G114" s="11"/>
    </row>
    <row r="115" spans="1:7" ht="15" customHeight="1" x14ac:dyDescent="0.2">
      <c r="A115" s="12"/>
      <c r="B115" s="12"/>
      <c r="C115" s="1" t="s">
        <v>24</v>
      </c>
      <c r="D115" s="5">
        <v>13</v>
      </c>
      <c r="E115" s="6">
        <v>31300</v>
      </c>
      <c r="F115" s="11">
        <v>2407.69</v>
      </c>
      <c r="G115" s="11"/>
    </row>
    <row r="116" spans="1:7" ht="15" customHeight="1" x14ac:dyDescent="0.2">
      <c r="A116" s="12"/>
      <c r="B116" s="12"/>
      <c r="C116" s="1" t="s">
        <v>25</v>
      </c>
      <c r="D116" s="5">
        <v>10</v>
      </c>
      <c r="E116" s="6">
        <v>30670</v>
      </c>
      <c r="F116" s="11">
        <v>3067</v>
      </c>
      <c r="G116" s="11"/>
    </row>
    <row r="117" spans="1:7" ht="15" customHeight="1" x14ac:dyDescent="0.2">
      <c r="A117" s="12"/>
      <c r="B117" s="13" t="s">
        <v>33</v>
      </c>
      <c r="C117" s="13"/>
      <c r="D117" s="5">
        <v>617</v>
      </c>
      <c r="E117" s="6">
        <v>2243900</v>
      </c>
      <c r="F117" s="11">
        <v>3636.79</v>
      </c>
      <c r="G117" s="11"/>
    </row>
    <row r="118" spans="1:7" ht="15" customHeight="1" x14ac:dyDescent="0.2">
      <c r="A118" s="12"/>
      <c r="B118" s="4">
        <v>46286</v>
      </c>
      <c r="C118" s="1" t="s">
        <v>12</v>
      </c>
      <c r="D118" s="5">
        <v>3</v>
      </c>
      <c r="E118" s="6">
        <v>5050</v>
      </c>
      <c r="F118" s="11">
        <v>1683.33</v>
      </c>
      <c r="G118" s="11"/>
    </row>
    <row r="119" spans="1:7" ht="15" customHeight="1" x14ac:dyDescent="0.2">
      <c r="A119" s="12"/>
      <c r="B119" s="12"/>
      <c r="C119" s="1" t="s">
        <v>13</v>
      </c>
      <c r="D119" s="5">
        <v>14</v>
      </c>
      <c r="E119" s="6">
        <v>37050</v>
      </c>
      <c r="F119" s="11">
        <v>2646.43</v>
      </c>
      <c r="G119" s="11"/>
    </row>
    <row r="120" spans="1:7" ht="15" customHeight="1" x14ac:dyDescent="0.2">
      <c r="A120" s="12"/>
      <c r="B120" s="12"/>
      <c r="C120" s="1" t="s">
        <v>14</v>
      </c>
      <c r="D120" s="5">
        <v>32</v>
      </c>
      <c r="E120" s="6">
        <v>91700</v>
      </c>
      <c r="F120" s="11">
        <v>2865.63</v>
      </c>
      <c r="G120" s="11"/>
    </row>
    <row r="121" spans="1:7" ht="15" customHeight="1" x14ac:dyDescent="0.2">
      <c r="A121" s="12"/>
      <c r="B121" s="12"/>
      <c r="C121" s="1" t="s">
        <v>15</v>
      </c>
      <c r="D121" s="5">
        <v>46</v>
      </c>
      <c r="E121" s="6">
        <v>203250</v>
      </c>
      <c r="F121" s="11">
        <v>4418.4799999999996</v>
      </c>
      <c r="G121" s="11"/>
    </row>
    <row r="122" spans="1:7" ht="15" customHeight="1" x14ac:dyDescent="0.2">
      <c r="A122" s="12"/>
      <c r="B122" s="12"/>
      <c r="C122" s="1" t="s">
        <v>16</v>
      </c>
      <c r="D122" s="5">
        <v>39</v>
      </c>
      <c r="E122" s="6">
        <v>125010</v>
      </c>
      <c r="F122" s="11">
        <v>3205.38</v>
      </c>
      <c r="G122" s="11"/>
    </row>
    <row r="123" spans="1:7" ht="15" customHeight="1" x14ac:dyDescent="0.2">
      <c r="A123" s="12"/>
      <c r="B123" s="12"/>
      <c r="C123" s="1" t="s">
        <v>17</v>
      </c>
      <c r="D123" s="5">
        <v>34</v>
      </c>
      <c r="E123" s="6">
        <v>103100</v>
      </c>
      <c r="F123" s="11">
        <v>3032.35</v>
      </c>
      <c r="G123" s="11"/>
    </row>
    <row r="124" spans="1:7" ht="15" customHeight="1" x14ac:dyDescent="0.2">
      <c r="A124" s="12"/>
      <c r="B124" s="12"/>
      <c r="C124" s="1" t="s">
        <v>18</v>
      </c>
      <c r="D124" s="5">
        <v>41</v>
      </c>
      <c r="E124" s="6">
        <v>118360</v>
      </c>
      <c r="F124" s="11">
        <v>2886.83</v>
      </c>
      <c r="G124" s="11"/>
    </row>
    <row r="125" spans="1:7" ht="15" customHeight="1" x14ac:dyDescent="0.2">
      <c r="A125" s="12"/>
      <c r="B125" s="12"/>
      <c r="C125" s="1" t="s">
        <v>19</v>
      </c>
      <c r="D125" s="5">
        <v>36</v>
      </c>
      <c r="E125" s="6">
        <v>92270</v>
      </c>
      <c r="F125" s="11">
        <v>2563.06</v>
      </c>
      <c r="G125" s="11"/>
    </row>
    <row r="126" spans="1:7" ht="15" customHeight="1" x14ac:dyDescent="0.2">
      <c r="A126" s="12"/>
      <c r="B126" s="12"/>
      <c r="C126" s="1" t="s">
        <v>20</v>
      </c>
      <c r="D126" s="5">
        <v>28</v>
      </c>
      <c r="E126" s="6">
        <v>76810</v>
      </c>
      <c r="F126" s="11">
        <v>2743.21</v>
      </c>
      <c r="G126" s="11"/>
    </row>
    <row r="127" spans="1:7" ht="15" customHeight="1" x14ac:dyDescent="0.2">
      <c r="A127" s="12"/>
      <c r="B127" s="12"/>
      <c r="C127" s="1" t="s">
        <v>21</v>
      </c>
      <c r="D127" s="5">
        <v>43</v>
      </c>
      <c r="E127" s="6">
        <v>132520</v>
      </c>
      <c r="F127" s="11">
        <v>3081.86</v>
      </c>
      <c r="G127" s="11"/>
    </row>
    <row r="128" spans="1:7" ht="15" customHeight="1" x14ac:dyDescent="0.2">
      <c r="A128" s="12"/>
      <c r="B128" s="12"/>
      <c r="C128" s="1" t="s">
        <v>22</v>
      </c>
      <c r="D128" s="5">
        <v>24</v>
      </c>
      <c r="E128" s="6">
        <v>73560</v>
      </c>
      <c r="F128" s="11">
        <v>3065</v>
      </c>
      <c r="G128" s="11"/>
    </row>
    <row r="129" spans="1:7" ht="15" customHeight="1" x14ac:dyDescent="0.2">
      <c r="A129" s="12"/>
      <c r="B129" s="12"/>
      <c r="C129" s="1" t="s">
        <v>23</v>
      </c>
      <c r="D129" s="5">
        <v>21</v>
      </c>
      <c r="E129" s="6">
        <v>53600</v>
      </c>
      <c r="F129" s="11">
        <v>2552.38</v>
      </c>
      <c r="G129" s="11"/>
    </row>
    <row r="130" spans="1:7" ht="15" customHeight="1" x14ac:dyDescent="0.2">
      <c r="A130" s="12"/>
      <c r="B130" s="12"/>
      <c r="C130" s="1" t="s">
        <v>24</v>
      </c>
      <c r="D130" s="5">
        <v>7</v>
      </c>
      <c r="E130" s="6">
        <v>25050</v>
      </c>
      <c r="F130" s="11">
        <v>3578.57</v>
      </c>
      <c r="G130" s="11"/>
    </row>
    <row r="131" spans="1:7" ht="15" customHeight="1" x14ac:dyDescent="0.2">
      <c r="A131" s="12"/>
      <c r="B131" s="12"/>
      <c r="C131" s="1" t="s">
        <v>25</v>
      </c>
      <c r="D131" s="5">
        <v>3</v>
      </c>
      <c r="E131" s="6">
        <v>12750</v>
      </c>
      <c r="F131" s="11">
        <v>4250</v>
      </c>
      <c r="G131" s="11"/>
    </row>
    <row r="132" spans="1:7" ht="15" customHeight="1" x14ac:dyDescent="0.2">
      <c r="A132" s="12"/>
      <c r="B132" s="13" t="s">
        <v>34</v>
      </c>
      <c r="C132" s="13"/>
      <c r="D132" s="5">
        <v>371</v>
      </c>
      <c r="E132" s="6">
        <v>1150080</v>
      </c>
      <c r="F132" s="11">
        <v>3099.95</v>
      </c>
      <c r="G132" s="11"/>
    </row>
    <row r="133" spans="1:7" ht="15" customHeight="1" x14ac:dyDescent="0.2">
      <c r="A133" s="12"/>
      <c r="B133" s="4">
        <v>46287</v>
      </c>
      <c r="C133" s="1" t="s">
        <v>11</v>
      </c>
      <c r="D133" s="5">
        <v>1</v>
      </c>
      <c r="E133" s="6">
        <v>3300</v>
      </c>
      <c r="F133" s="11">
        <v>3300</v>
      </c>
      <c r="G133" s="11"/>
    </row>
    <row r="134" spans="1:7" ht="15" customHeight="1" x14ac:dyDescent="0.2">
      <c r="A134" s="12"/>
      <c r="B134" s="12"/>
      <c r="C134" s="1" t="s">
        <v>12</v>
      </c>
      <c r="D134" s="5">
        <v>9</v>
      </c>
      <c r="E134" s="6">
        <v>28150</v>
      </c>
      <c r="F134" s="11">
        <v>3127.78</v>
      </c>
      <c r="G134" s="11"/>
    </row>
    <row r="135" spans="1:7" ht="15" customHeight="1" x14ac:dyDescent="0.2">
      <c r="A135" s="12"/>
      <c r="B135" s="12"/>
      <c r="C135" s="1" t="s">
        <v>13</v>
      </c>
      <c r="D135" s="5">
        <v>8</v>
      </c>
      <c r="E135" s="6">
        <v>13910</v>
      </c>
      <c r="F135" s="11">
        <v>1738.75</v>
      </c>
      <c r="G135" s="11"/>
    </row>
    <row r="136" spans="1:7" ht="15" customHeight="1" x14ac:dyDescent="0.2">
      <c r="A136" s="12"/>
      <c r="B136" s="12"/>
      <c r="C136" s="1" t="s">
        <v>14</v>
      </c>
      <c r="D136" s="5">
        <v>27</v>
      </c>
      <c r="E136" s="6">
        <v>76100</v>
      </c>
      <c r="F136" s="11">
        <v>2818.52</v>
      </c>
      <c r="G136" s="11"/>
    </row>
    <row r="137" spans="1:7" ht="15" customHeight="1" x14ac:dyDescent="0.2">
      <c r="A137" s="12"/>
      <c r="B137" s="12"/>
      <c r="C137" s="1" t="s">
        <v>15</v>
      </c>
      <c r="D137" s="5">
        <v>34</v>
      </c>
      <c r="E137" s="6">
        <v>125150</v>
      </c>
      <c r="F137" s="11">
        <v>3680.88</v>
      </c>
      <c r="G137" s="11"/>
    </row>
    <row r="138" spans="1:7" ht="15" customHeight="1" x14ac:dyDescent="0.2">
      <c r="A138" s="12"/>
      <c r="B138" s="12"/>
      <c r="C138" s="1" t="s">
        <v>16</v>
      </c>
      <c r="D138" s="5">
        <v>20</v>
      </c>
      <c r="E138" s="6">
        <v>43250</v>
      </c>
      <c r="F138" s="11">
        <v>2162.5</v>
      </c>
      <c r="G138" s="11"/>
    </row>
    <row r="139" spans="1:7" ht="15" customHeight="1" x14ac:dyDescent="0.2">
      <c r="A139" s="12"/>
      <c r="B139" s="12"/>
      <c r="C139" s="1" t="s">
        <v>17</v>
      </c>
      <c r="D139" s="5">
        <v>32</v>
      </c>
      <c r="E139" s="6">
        <v>76430</v>
      </c>
      <c r="F139" s="11">
        <v>2388.44</v>
      </c>
      <c r="G139" s="11"/>
    </row>
    <row r="140" spans="1:7" ht="15" customHeight="1" x14ac:dyDescent="0.2">
      <c r="A140" s="12"/>
      <c r="B140" s="12"/>
      <c r="C140" s="1" t="s">
        <v>18</v>
      </c>
      <c r="D140" s="5">
        <v>46</v>
      </c>
      <c r="E140" s="6">
        <v>143110</v>
      </c>
      <c r="F140" s="11">
        <v>3111.09</v>
      </c>
      <c r="G140" s="11"/>
    </row>
    <row r="141" spans="1:7" ht="15" customHeight="1" x14ac:dyDescent="0.2">
      <c r="A141" s="12"/>
      <c r="B141" s="12"/>
      <c r="C141" s="1" t="s">
        <v>19</v>
      </c>
      <c r="D141" s="5">
        <v>19</v>
      </c>
      <c r="E141" s="6">
        <v>55300</v>
      </c>
      <c r="F141" s="11">
        <v>2910.53</v>
      </c>
      <c r="G141" s="11"/>
    </row>
    <row r="142" spans="1:7" ht="15" customHeight="1" x14ac:dyDescent="0.2">
      <c r="A142" s="12"/>
      <c r="B142" s="12"/>
      <c r="C142" s="1" t="s">
        <v>20</v>
      </c>
      <c r="D142" s="5">
        <v>25</v>
      </c>
      <c r="E142" s="6">
        <v>83200</v>
      </c>
      <c r="F142" s="11">
        <v>3328</v>
      </c>
      <c r="G142" s="11"/>
    </row>
    <row r="143" spans="1:7" ht="15" customHeight="1" x14ac:dyDescent="0.2">
      <c r="A143" s="12"/>
      <c r="B143" s="12"/>
      <c r="C143" s="1" t="s">
        <v>21</v>
      </c>
      <c r="D143" s="5">
        <v>56</v>
      </c>
      <c r="E143" s="6">
        <v>154710</v>
      </c>
      <c r="F143" s="11">
        <v>2762.68</v>
      </c>
      <c r="G143" s="11"/>
    </row>
    <row r="144" spans="1:7" ht="15" customHeight="1" x14ac:dyDescent="0.2">
      <c r="A144" s="12"/>
      <c r="B144" s="12"/>
      <c r="C144" s="1" t="s">
        <v>22</v>
      </c>
      <c r="D144" s="5">
        <v>18</v>
      </c>
      <c r="E144" s="6">
        <v>46520</v>
      </c>
      <c r="F144" s="11">
        <v>2584.44</v>
      </c>
      <c r="G144" s="11"/>
    </row>
    <row r="145" spans="1:7" ht="15" customHeight="1" x14ac:dyDescent="0.2">
      <c r="A145" s="12"/>
      <c r="B145" s="12"/>
      <c r="C145" s="1" t="s">
        <v>23</v>
      </c>
      <c r="D145" s="5">
        <v>20</v>
      </c>
      <c r="E145" s="6">
        <v>51200</v>
      </c>
      <c r="F145" s="11">
        <v>2560</v>
      </c>
      <c r="G145" s="11"/>
    </row>
    <row r="146" spans="1:7" ht="15" customHeight="1" x14ac:dyDescent="0.2">
      <c r="A146" s="12"/>
      <c r="B146" s="12"/>
      <c r="C146" s="1" t="s">
        <v>24</v>
      </c>
      <c r="D146" s="5">
        <v>13</v>
      </c>
      <c r="E146" s="6">
        <v>28480</v>
      </c>
      <c r="F146" s="11">
        <v>2190.77</v>
      </c>
      <c r="G146" s="11"/>
    </row>
    <row r="147" spans="1:7" ht="15" customHeight="1" x14ac:dyDescent="0.2">
      <c r="A147" s="12"/>
      <c r="B147" s="12"/>
      <c r="C147" s="1" t="s">
        <v>25</v>
      </c>
      <c r="D147" s="5">
        <v>2</v>
      </c>
      <c r="E147" s="6">
        <v>3050</v>
      </c>
      <c r="F147" s="11">
        <v>1525</v>
      </c>
      <c r="G147" s="11"/>
    </row>
    <row r="148" spans="1:7" ht="15" customHeight="1" x14ac:dyDescent="0.2">
      <c r="A148" s="12"/>
      <c r="B148" s="13" t="s">
        <v>35</v>
      </c>
      <c r="C148" s="13"/>
      <c r="D148" s="5">
        <v>330</v>
      </c>
      <c r="E148" s="6">
        <v>931860</v>
      </c>
      <c r="F148" s="11">
        <v>2823.82</v>
      </c>
      <c r="G148" s="11"/>
    </row>
    <row r="149" spans="1:7" ht="15" customHeight="1" x14ac:dyDescent="0.2">
      <c r="A149" s="12"/>
      <c r="B149" s="4">
        <v>46288</v>
      </c>
      <c r="C149" s="1" t="s">
        <v>12</v>
      </c>
      <c r="D149" s="5">
        <v>5</v>
      </c>
      <c r="E149" s="6">
        <v>8950</v>
      </c>
      <c r="F149" s="11">
        <v>1790</v>
      </c>
      <c r="G149" s="11"/>
    </row>
    <row r="150" spans="1:7" ht="15" customHeight="1" x14ac:dyDescent="0.2">
      <c r="A150" s="12"/>
      <c r="B150" s="12"/>
      <c r="C150" s="1" t="s">
        <v>13</v>
      </c>
      <c r="D150" s="5">
        <v>5</v>
      </c>
      <c r="E150" s="6">
        <v>13550</v>
      </c>
      <c r="F150" s="11">
        <v>2710</v>
      </c>
      <c r="G150" s="11"/>
    </row>
    <row r="151" spans="1:7" ht="15" customHeight="1" x14ac:dyDescent="0.2">
      <c r="A151" s="12"/>
      <c r="B151" s="12"/>
      <c r="C151" s="1" t="s">
        <v>14</v>
      </c>
      <c r="D151" s="5">
        <v>26</v>
      </c>
      <c r="E151" s="6">
        <v>81600</v>
      </c>
      <c r="F151" s="11">
        <v>3138.46</v>
      </c>
      <c r="G151" s="11"/>
    </row>
    <row r="152" spans="1:7" ht="15" customHeight="1" x14ac:dyDescent="0.2">
      <c r="A152" s="12"/>
      <c r="B152" s="12"/>
      <c r="C152" s="1" t="s">
        <v>15</v>
      </c>
      <c r="D152" s="5">
        <v>33</v>
      </c>
      <c r="E152" s="6">
        <v>83220</v>
      </c>
      <c r="F152" s="11">
        <v>2521.8200000000002</v>
      </c>
      <c r="G152" s="11"/>
    </row>
    <row r="153" spans="1:7" ht="15" customHeight="1" x14ac:dyDescent="0.2">
      <c r="A153" s="12"/>
      <c r="B153" s="12"/>
      <c r="C153" s="1" t="s">
        <v>16</v>
      </c>
      <c r="D153" s="5">
        <v>33</v>
      </c>
      <c r="E153" s="6">
        <v>76970</v>
      </c>
      <c r="F153" s="11">
        <v>2332.42</v>
      </c>
      <c r="G153" s="11"/>
    </row>
    <row r="154" spans="1:7" ht="15" customHeight="1" x14ac:dyDescent="0.2">
      <c r="A154" s="12"/>
      <c r="B154" s="12"/>
      <c r="C154" s="1" t="s">
        <v>17</v>
      </c>
      <c r="D154" s="5">
        <v>30</v>
      </c>
      <c r="E154" s="6">
        <v>68300</v>
      </c>
      <c r="F154" s="11">
        <v>2276.67</v>
      </c>
      <c r="G154" s="11"/>
    </row>
    <row r="155" spans="1:7" ht="15" customHeight="1" x14ac:dyDescent="0.2">
      <c r="A155" s="12"/>
      <c r="B155" s="12"/>
      <c r="C155" s="1" t="s">
        <v>18</v>
      </c>
      <c r="D155" s="5">
        <v>24</v>
      </c>
      <c r="E155" s="6">
        <v>58800</v>
      </c>
      <c r="F155" s="11">
        <v>2450</v>
      </c>
      <c r="G155" s="11"/>
    </row>
    <row r="156" spans="1:7" ht="15" customHeight="1" x14ac:dyDescent="0.2">
      <c r="A156" s="12"/>
      <c r="B156" s="12"/>
      <c r="C156" s="1" t="s">
        <v>19</v>
      </c>
      <c r="D156" s="5">
        <v>26</v>
      </c>
      <c r="E156" s="6">
        <v>70950</v>
      </c>
      <c r="F156" s="11">
        <v>2728.85</v>
      </c>
      <c r="G156" s="11"/>
    </row>
    <row r="157" spans="1:7" ht="15" customHeight="1" x14ac:dyDescent="0.2">
      <c r="A157" s="12"/>
      <c r="B157" s="12"/>
      <c r="C157" s="1" t="s">
        <v>20</v>
      </c>
      <c r="D157" s="5">
        <v>33</v>
      </c>
      <c r="E157" s="6">
        <v>98550</v>
      </c>
      <c r="F157" s="11">
        <v>2986.36</v>
      </c>
      <c r="G157" s="11"/>
    </row>
    <row r="158" spans="1:7" ht="15" customHeight="1" x14ac:dyDescent="0.2">
      <c r="A158" s="12"/>
      <c r="B158" s="12"/>
      <c r="C158" s="1" t="s">
        <v>25</v>
      </c>
      <c r="D158" s="5">
        <v>1</v>
      </c>
      <c r="E158" s="6">
        <v>560</v>
      </c>
      <c r="F158" s="11">
        <v>560</v>
      </c>
      <c r="G158" s="11"/>
    </row>
    <row r="159" spans="1:7" ht="15" customHeight="1" x14ac:dyDescent="0.2">
      <c r="A159" s="12"/>
      <c r="B159" s="13" t="s">
        <v>36</v>
      </c>
      <c r="C159" s="13"/>
      <c r="D159" s="5">
        <v>216</v>
      </c>
      <c r="E159" s="6">
        <v>561450</v>
      </c>
      <c r="F159" s="11">
        <v>2599.31</v>
      </c>
      <c r="G159" s="11"/>
    </row>
    <row r="160" spans="1:7" ht="15" customHeight="1" x14ac:dyDescent="0.2">
      <c r="A160" s="12"/>
      <c r="B160" s="7">
        <v>46289</v>
      </c>
      <c r="C160" s="1" t="s">
        <v>24</v>
      </c>
      <c r="D160" s="5">
        <v>1</v>
      </c>
      <c r="E160" s="6">
        <v>5500</v>
      </c>
      <c r="F160" s="11">
        <v>5500</v>
      </c>
      <c r="G160" s="11"/>
    </row>
    <row r="161" spans="1:7" ht="15" customHeight="1" x14ac:dyDescent="0.2">
      <c r="A161" s="12"/>
      <c r="B161" s="4">
        <v>46290</v>
      </c>
      <c r="C161" s="1" t="s">
        <v>11</v>
      </c>
      <c r="D161" s="5">
        <v>8</v>
      </c>
      <c r="E161" s="6">
        <v>9910</v>
      </c>
      <c r="F161" s="11">
        <v>1238.75</v>
      </c>
      <c r="G161" s="11"/>
    </row>
    <row r="162" spans="1:7" ht="15" customHeight="1" x14ac:dyDescent="0.2">
      <c r="A162" s="12"/>
      <c r="B162" s="12"/>
      <c r="C162" s="1" t="s">
        <v>13</v>
      </c>
      <c r="D162" s="5">
        <v>3</v>
      </c>
      <c r="E162" s="6">
        <v>9300</v>
      </c>
      <c r="F162" s="11">
        <v>3100</v>
      </c>
      <c r="G162" s="11"/>
    </row>
    <row r="163" spans="1:7" ht="15" customHeight="1" x14ac:dyDescent="0.2">
      <c r="A163" s="12"/>
      <c r="B163" s="12"/>
      <c r="C163" s="1" t="s">
        <v>14</v>
      </c>
      <c r="D163" s="5">
        <v>35</v>
      </c>
      <c r="E163" s="6">
        <v>130000</v>
      </c>
      <c r="F163" s="11">
        <v>3714.29</v>
      </c>
      <c r="G163" s="11"/>
    </row>
    <row r="164" spans="1:7" ht="15" customHeight="1" x14ac:dyDescent="0.2">
      <c r="A164" s="12"/>
      <c r="B164" s="12"/>
      <c r="C164" s="1" t="s">
        <v>15</v>
      </c>
      <c r="D164" s="5">
        <v>59</v>
      </c>
      <c r="E164" s="6">
        <v>228160</v>
      </c>
      <c r="F164" s="11">
        <v>3867.12</v>
      </c>
      <c r="G164" s="11"/>
    </row>
    <row r="165" spans="1:7" ht="15" customHeight="1" x14ac:dyDescent="0.2">
      <c r="A165" s="12"/>
      <c r="B165" s="12"/>
      <c r="C165" s="1" t="s">
        <v>16</v>
      </c>
      <c r="D165" s="5">
        <v>41</v>
      </c>
      <c r="E165" s="6">
        <v>132870</v>
      </c>
      <c r="F165" s="11">
        <v>3240.73</v>
      </c>
      <c r="G165" s="11"/>
    </row>
    <row r="166" spans="1:7" ht="15" customHeight="1" x14ac:dyDescent="0.2">
      <c r="A166" s="12"/>
      <c r="B166" s="12"/>
      <c r="C166" s="1" t="s">
        <v>17</v>
      </c>
      <c r="D166" s="5">
        <v>66</v>
      </c>
      <c r="E166" s="6">
        <v>204590</v>
      </c>
      <c r="F166" s="11">
        <v>3099.85</v>
      </c>
      <c r="G166" s="11"/>
    </row>
    <row r="167" spans="1:7" ht="15" customHeight="1" x14ac:dyDescent="0.2">
      <c r="A167" s="12"/>
      <c r="B167" s="12"/>
      <c r="C167" s="1" t="s">
        <v>18</v>
      </c>
      <c r="D167" s="5">
        <v>35</v>
      </c>
      <c r="E167" s="6">
        <v>122420</v>
      </c>
      <c r="F167" s="11">
        <v>3497.71</v>
      </c>
      <c r="G167" s="11"/>
    </row>
    <row r="168" spans="1:7" ht="15" customHeight="1" x14ac:dyDescent="0.2">
      <c r="A168" s="12"/>
      <c r="B168" s="12"/>
      <c r="C168" s="1" t="s">
        <v>19</v>
      </c>
      <c r="D168" s="5">
        <v>49</v>
      </c>
      <c r="E168" s="6">
        <v>193140</v>
      </c>
      <c r="F168" s="11">
        <v>3941.63</v>
      </c>
      <c r="G168" s="11"/>
    </row>
    <row r="169" spans="1:7" ht="15" customHeight="1" x14ac:dyDescent="0.2">
      <c r="A169" s="12"/>
      <c r="B169" s="12"/>
      <c r="C169" s="1" t="s">
        <v>20</v>
      </c>
      <c r="D169" s="5">
        <v>59</v>
      </c>
      <c r="E169" s="6">
        <v>187820</v>
      </c>
      <c r="F169" s="11">
        <v>3183.39</v>
      </c>
      <c r="G169" s="11"/>
    </row>
    <row r="170" spans="1:7" ht="15" customHeight="1" x14ac:dyDescent="0.2">
      <c r="A170" s="12"/>
      <c r="B170" s="12"/>
      <c r="C170" s="1" t="s">
        <v>21</v>
      </c>
      <c r="D170" s="5">
        <v>92</v>
      </c>
      <c r="E170" s="6">
        <v>397060</v>
      </c>
      <c r="F170" s="11">
        <v>4315.87</v>
      </c>
      <c r="G170" s="11"/>
    </row>
    <row r="171" spans="1:7" ht="15" customHeight="1" x14ac:dyDescent="0.2">
      <c r="A171" s="12"/>
      <c r="B171" s="12"/>
      <c r="C171" s="1" t="s">
        <v>22</v>
      </c>
      <c r="D171" s="5">
        <v>73</v>
      </c>
      <c r="E171" s="6">
        <v>293020</v>
      </c>
      <c r="F171" s="11">
        <v>4013.97</v>
      </c>
      <c r="G171" s="11"/>
    </row>
    <row r="172" spans="1:7" ht="15" customHeight="1" x14ac:dyDescent="0.2">
      <c r="A172" s="12"/>
      <c r="B172" s="12"/>
      <c r="C172" s="1" t="s">
        <v>23</v>
      </c>
      <c r="D172" s="5">
        <v>46</v>
      </c>
      <c r="E172" s="6">
        <v>162250</v>
      </c>
      <c r="F172" s="11">
        <v>3527.17</v>
      </c>
      <c r="G172" s="11"/>
    </row>
    <row r="173" spans="1:7" ht="15" customHeight="1" x14ac:dyDescent="0.2">
      <c r="A173" s="12"/>
      <c r="B173" s="12"/>
      <c r="C173" s="1" t="s">
        <v>24</v>
      </c>
      <c r="D173" s="5">
        <v>29</v>
      </c>
      <c r="E173" s="6">
        <v>99500</v>
      </c>
      <c r="F173" s="11">
        <v>3431.03</v>
      </c>
      <c r="G173" s="11"/>
    </row>
    <row r="174" spans="1:7" ht="15" customHeight="1" x14ac:dyDescent="0.2">
      <c r="A174" s="12"/>
      <c r="B174" s="12"/>
      <c r="C174" s="1" t="s">
        <v>25</v>
      </c>
      <c r="D174" s="5">
        <v>12</v>
      </c>
      <c r="E174" s="6">
        <v>17050</v>
      </c>
      <c r="F174" s="11">
        <v>1420.83</v>
      </c>
      <c r="G174" s="11"/>
    </row>
    <row r="175" spans="1:7" ht="15" customHeight="1" x14ac:dyDescent="0.2">
      <c r="A175" s="12"/>
      <c r="B175" s="13" t="s">
        <v>37</v>
      </c>
      <c r="C175" s="13"/>
      <c r="D175" s="5">
        <f>SUM(D174,D161)</f>
        <v>20</v>
      </c>
      <c r="E175" s="6">
        <v>2187090</v>
      </c>
      <c r="F175" s="11">
        <v>3603.11</v>
      </c>
      <c r="G175" s="11"/>
    </row>
    <row r="176" spans="1:7" ht="15" customHeight="1" x14ac:dyDescent="0.2">
      <c r="A176" s="12"/>
      <c r="B176" s="4">
        <v>46291</v>
      </c>
      <c r="C176" s="1" t="s">
        <v>12</v>
      </c>
      <c r="D176" s="5">
        <v>3</v>
      </c>
      <c r="E176" s="6">
        <v>13900</v>
      </c>
      <c r="F176" s="11">
        <v>4633.33</v>
      </c>
      <c r="G176" s="11"/>
    </row>
    <row r="177" spans="1:7" ht="15" customHeight="1" x14ac:dyDescent="0.2">
      <c r="A177" s="12"/>
      <c r="B177" s="12"/>
      <c r="C177" s="1" t="s">
        <v>13</v>
      </c>
      <c r="D177" s="5">
        <v>10</v>
      </c>
      <c r="E177" s="6">
        <v>34610</v>
      </c>
      <c r="F177" s="11">
        <v>3461</v>
      </c>
      <c r="G177" s="11"/>
    </row>
    <row r="178" spans="1:7" ht="15" customHeight="1" x14ac:dyDescent="0.2">
      <c r="A178" s="12"/>
      <c r="B178" s="12"/>
      <c r="C178" s="1" t="s">
        <v>14</v>
      </c>
      <c r="D178" s="5">
        <v>28</v>
      </c>
      <c r="E178" s="6">
        <v>107000</v>
      </c>
      <c r="F178" s="11">
        <v>3821.43</v>
      </c>
      <c r="G178" s="11"/>
    </row>
    <row r="179" spans="1:7" ht="15" customHeight="1" x14ac:dyDescent="0.2">
      <c r="A179" s="12"/>
      <c r="B179" s="12"/>
      <c r="C179" s="1" t="s">
        <v>15</v>
      </c>
      <c r="D179" s="5">
        <v>34</v>
      </c>
      <c r="E179" s="6">
        <v>99730</v>
      </c>
      <c r="F179" s="11">
        <v>2933.24</v>
      </c>
      <c r="G179" s="11"/>
    </row>
    <row r="180" spans="1:7" ht="15" customHeight="1" x14ac:dyDescent="0.2">
      <c r="A180" s="12"/>
      <c r="B180" s="12"/>
      <c r="C180" s="1" t="s">
        <v>16</v>
      </c>
      <c r="D180" s="5">
        <v>99</v>
      </c>
      <c r="E180" s="6">
        <v>373710</v>
      </c>
      <c r="F180" s="11">
        <v>3774.85</v>
      </c>
      <c r="G180" s="11"/>
    </row>
    <row r="181" spans="1:7" ht="15" customHeight="1" x14ac:dyDescent="0.2">
      <c r="A181" s="12"/>
      <c r="B181" s="12"/>
      <c r="C181" s="1" t="s">
        <v>17</v>
      </c>
      <c r="D181" s="5">
        <v>74</v>
      </c>
      <c r="E181" s="6">
        <v>354310</v>
      </c>
      <c r="F181" s="11">
        <v>4787.97</v>
      </c>
      <c r="G181" s="11"/>
    </row>
    <row r="182" spans="1:7" ht="15" customHeight="1" x14ac:dyDescent="0.2">
      <c r="A182" s="12"/>
      <c r="B182" s="12"/>
      <c r="C182" s="1" t="s">
        <v>18</v>
      </c>
      <c r="D182" s="5">
        <v>81</v>
      </c>
      <c r="E182" s="6">
        <v>265980</v>
      </c>
      <c r="F182" s="11">
        <v>3283.7</v>
      </c>
      <c r="G182" s="11"/>
    </row>
    <row r="183" spans="1:7" ht="15" customHeight="1" x14ac:dyDescent="0.2">
      <c r="A183" s="12"/>
      <c r="B183" s="12"/>
      <c r="C183" s="1" t="s">
        <v>19</v>
      </c>
      <c r="D183" s="5">
        <v>85</v>
      </c>
      <c r="E183" s="6">
        <v>318950</v>
      </c>
      <c r="F183" s="11">
        <v>3752.35</v>
      </c>
      <c r="G183" s="11"/>
    </row>
    <row r="184" spans="1:7" ht="15" customHeight="1" x14ac:dyDescent="0.2">
      <c r="A184" s="12"/>
      <c r="B184" s="12"/>
      <c r="C184" s="1" t="s">
        <v>20</v>
      </c>
      <c r="D184" s="5">
        <v>84</v>
      </c>
      <c r="E184" s="6">
        <v>283420</v>
      </c>
      <c r="F184" s="11">
        <v>3374.05</v>
      </c>
      <c r="G184" s="11"/>
    </row>
    <row r="185" spans="1:7" ht="15" customHeight="1" x14ac:dyDescent="0.2">
      <c r="A185" s="12"/>
      <c r="B185" s="12"/>
      <c r="C185" s="1" t="s">
        <v>21</v>
      </c>
      <c r="D185" s="5">
        <v>95</v>
      </c>
      <c r="E185" s="6">
        <v>399400</v>
      </c>
      <c r="F185" s="11">
        <v>4204.21</v>
      </c>
      <c r="G185" s="11"/>
    </row>
    <row r="186" spans="1:7" ht="15" customHeight="1" x14ac:dyDescent="0.2">
      <c r="A186" s="12"/>
      <c r="B186" s="12"/>
      <c r="C186" s="1" t="s">
        <v>22</v>
      </c>
      <c r="D186" s="5">
        <v>74</v>
      </c>
      <c r="E186" s="6">
        <v>226450</v>
      </c>
      <c r="F186" s="11">
        <v>3060.14</v>
      </c>
      <c r="G186" s="11"/>
    </row>
    <row r="187" spans="1:7" ht="15" customHeight="1" x14ac:dyDescent="0.2">
      <c r="A187" s="12"/>
      <c r="B187" s="12"/>
      <c r="C187" s="1" t="s">
        <v>23</v>
      </c>
      <c r="D187" s="5">
        <v>92</v>
      </c>
      <c r="E187" s="6">
        <v>219410</v>
      </c>
      <c r="F187" s="11">
        <v>2384.89</v>
      </c>
      <c r="G187" s="11"/>
    </row>
    <row r="188" spans="1:7" ht="15" customHeight="1" x14ac:dyDescent="0.2">
      <c r="A188" s="12"/>
      <c r="B188" s="12"/>
      <c r="C188" s="1" t="s">
        <v>24</v>
      </c>
      <c r="D188" s="5">
        <v>25</v>
      </c>
      <c r="E188" s="6">
        <v>74220</v>
      </c>
      <c r="F188" s="11">
        <v>2968.8</v>
      </c>
      <c r="G188" s="11"/>
    </row>
    <row r="189" spans="1:7" ht="15" customHeight="1" x14ac:dyDescent="0.2">
      <c r="A189" s="12"/>
      <c r="B189" s="12"/>
      <c r="C189" s="1" t="s">
        <v>25</v>
      </c>
      <c r="D189" s="5">
        <v>8</v>
      </c>
      <c r="E189" s="6">
        <v>21250</v>
      </c>
      <c r="F189" s="11">
        <v>2656.25</v>
      </c>
      <c r="G189" s="11"/>
    </row>
    <row r="190" spans="1:7" ht="15" customHeight="1" x14ac:dyDescent="0.2">
      <c r="A190" s="12"/>
      <c r="B190" s="13" t="s">
        <v>38</v>
      </c>
      <c r="C190" s="13"/>
      <c r="D190" s="5">
        <v>792</v>
      </c>
      <c r="E190" s="6">
        <v>2792340</v>
      </c>
      <c r="F190" s="11">
        <v>3525.68</v>
      </c>
      <c r="G190" s="11"/>
    </row>
    <row r="191" spans="1:7" ht="15" customHeight="1" x14ac:dyDescent="0.2">
      <c r="A191" s="12"/>
      <c r="B191" s="4">
        <v>46292</v>
      </c>
      <c r="C191" s="1" t="s">
        <v>11</v>
      </c>
      <c r="D191" s="5">
        <v>4</v>
      </c>
      <c r="E191" s="6">
        <v>17550</v>
      </c>
      <c r="F191" s="11">
        <v>4387.5</v>
      </c>
      <c r="G191" s="11"/>
    </row>
    <row r="192" spans="1:7" ht="15" customHeight="1" x14ac:dyDescent="0.2">
      <c r="A192" s="12"/>
      <c r="B192" s="12"/>
      <c r="C192" s="1" t="s">
        <v>12</v>
      </c>
      <c r="D192" s="5">
        <v>5</v>
      </c>
      <c r="E192" s="6">
        <v>18050</v>
      </c>
      <c r="F192" s="11">
        <v>3610</v>
      </c>
      <c r="G192" s="11"/>
    </row>
    <row r="193" spans="1:7" ht="15" customHeight="1" x14ac:dyDescent="0.2">
      <c r="A193" s="12"/>
      <c r="B193" s="12"/>
      <c r="C193" s="1" t="s">
        <v>13</v>
      </c>
      <c r="D193" s="5">
        <v>19</v>
      </c>
      <c r="E193" s="6">
        <v>77700</v>
      </c>
      <c r="F193" s="11">
        <v>4089.47</v>
      </c>
      <c r="G193" s="11"/>
    </row>
    <row r="194" spans="1:7" ht="15" customHeight="1" x14ac:dyDescent="0.2">
      <c r="A194" s="12"/>
      <c r="B194" s="12"/>
      <c r="C194" s="1" t="s">
        <v>14</v>
      </c>
      <c r="D194" s="5">
        <v>25</v>
      </c>
      <c r="E194" s="6">
        <v>87730</v>
      </c>
      <c r="F194" s="11">
        <v>3509.2</v>
      </c>
      <c r="G194" s="11"/>
    </row>
    <row r="195" spans="1:7" ht="15" customHeight="1" x14ac:dyDescent="0.2">
      <c r="A195" s="12"/>
      <c r="B195" s="12"/>
      <c r="C195" s="1" t="s">
        <v>15</v>
      </c>
      <c r="D195" s="5">
        <v>50</v>
      </c>
      <c r="E195" s="6">
        <v>190930</v>
      </c>
      <c r="F195" s="11">
        <v>3818.6</v>
      </c>
      <c r="G195" s="11"/>
    </row>
    <row r="196" spans="1:7" ht="15" customHeight="1" x14ac:dyDescent="0.2">
      <c r="A196" s="12"/>
      <c r="B196" s="12"/>
      <c r="C196" s="1" t="s">
        <v>16</v>
      </c>
      <c r="D196" s="5">
        <v>66</v>
      </c>
      <c r="E196" s="6">
        <v>256350</v>
      </c>
      <c r="F196" s="11">
        <v>3884.09</v>
      </c>
      <c r="G196" s="11"/>
    </row>
    <row r="197" spans="1:7" ht="15" customHeight="1" x14ac:dyDescent="0.2">
      <c r="A197" s="12"/>
      <c r="B197" s="12"/>
      <c r="C197" s="1" t="s">
        <v>17</v>
      </c>
      <c r="D197" s="5">
        <v>79</v>
      </c>
      <c r="E197" s="6">
        <v>273750</v>
      </c>
      <c r="F197" s="11">
        <v>3465.19</v>
      </c>
      <c r="G197" s="11"/>
    </row>
    <row r="198" spans="1:7" ht="15" customHeight="1" x14ac:dyDescent="0.2">
      <c r="A198" s="12"/>
      <c r="B198" s="12"/>
      <c r="C198" s="1" t="s">
        <v>18</v>
      </c>
      <c r="D198" s="5">
        <v>114</v>
      </c>
      <c r="E198" s="6">
        <v>369900</v>
      </c>
      <c r="F198" s="11">
        <v>3244.74</v>
      </c>
      <c r="G198" s="11"/>
    </row>
    <row r="199" spans="1:7" ht="15" customHeight="1" x14ac:dyDescent="0.2">
      <c r="A199" s="12"/>
      <c r="B199" s="12"/>
      <c r="C199" s="1" t="s">
        <v>19</v>
      </c>
      <c r="D199" s="5">
        <v>80</v>
      </c>
      <c r="E199" s="6">
        <v>292670</v>
      </c>
      <c r="F199" s="11">
        <v>3658.38</v>
      </c>
      <c r="G199" s="11"/>
    </row>
    <row r="200" spans="1:7" ht="15" customHeight="1" x14ac:dyDescent="0.2">
      <c r="A200" s="12"/>
      <c r="B200" s="12"/>
      <c r="C200" s="1" t="s">
        <v>20</v>
      </c>
      <c r="D200" s="5">
        <v>82</v>
      </c>
      <c r="E200" s="6">
        <v>282420</v>
      </c>
      <c r="F200" s="11">
        <v>3444.15</v>
      </c>
      <c r="G200" s="11"/>
    </row>
    <row r="201" spans="1:7" ht="15" customHeight="1" x14ac:dyDescent="0.2">
      <c r="A201" s="12"/>
      <c r="B201" s="12"/>
      <c r="C201" s="1" t="s">
        <v>21</v>
      </c>
      <c r="D201" s="5">
        <v>85</v>
      </c>
      <c r="E201" s="6">
        <v>319190</v>
      </c>
      <c r="F201" s="11">
        <v>3755.18</v>
      </c>
      <c r="G201" s="11"/>
    </row>
    <row r="202" spans="1:7" ht="15" customHeight="1" x14ac:dyDescent="0.2">
      <c r="A202" s="12"/>
      <c r="B202" s="12"/>
      <c r="C202" s="1" t="s">
        <v>22</v>
      </c>
      <c r="D202" s="5">
        <v>51</v>
      </c>
      <c r="E202" s="6">
        <v>211100</v>
      </c>
      <c r="F202" s="11">
        <v>4139.22</v>
      </c>
      <c r="G202" s="11"/>
    </row>
    <row r="203" spans="1:7" ht="15" customHeight="1" x14ac:dyDescent="0.2">
      <c r="A203" s="12"/>
      <c r="B203" s="12"/>
      <c r="C203" s="1" t="s">
        <v>23</v>
      </c>
      <c r="D203" s="5">
        <v>40</v>
      </c>
      <c r="E203" s="6">
        <v>135500</v>
      </c>
      <c r="F203" s="11">
        <v>3387.5</v>
      </c>
      <c r="G203" s="11"/>
    </row>
    <row r="204" spans="1:7" ht="15" customHeight="1" x14ac:dyDescent="0.2">
      <c r="A204" s="12"/>
      <c r="B204" s="12"/>
      <c r="C204" s="1" t="s">
        <v>24</v>
      </c>
      <c r="D204" s="5">
        <v>9</v>
      </c>
      <c r="E204" s="6">
        <v>36950</v>
      </c>
      <c r="F204" s="11">
        <v>4105.5600000000004</v>
      </c>
      <c r="G204" s="11"/>
    </row>
    <row r="205" spans="1:7" ht="15" customHeight="1" x14ac:dyDescent="0.2">
      <c r="A205" s="12"/>
      <c r="B205" s="12"/>
      <c r="C205" s="1" t="s">
        <v>25</v>
      </c>
      <c r="D205" s="5">
        <v>12</v>
      </c>
      <c r="E205" s="6">
        <v>30750</v>
      </c>
      <c r="F205" s="11">
        <v>2562.5</v>
      </c>
      <c r="G205" s="11"/>
    </row>
    <row r="206" spans="1:7" ht="15" customHeight="1" x14ac:dyDescent="0.2">
      <c r="A206" s="12"/>
      <c r="B206" s="13" t="s">
        <v>39</v>
      </c>
      <c r="C206" s="13"/>
      <c r="D206" s="5">
        <f>SUM(D191,D205)</f>
        <v>16</v>
      </c>
      <c r="E206" s="6">
        <v>2600540</v>
      </c>
      <c r="F206" s="11">
        <v>3606.85</v>
      </c>
      <c r="G206" s="11"/>
    </row>
    <row r="207" spans="1:7" ht="15" customHeight="1" x14ac:dyDescent="0.2">
      <c r="A207" s="13" t="s">
        <v>40</v>
      </c>
      <c r="B207" s="13"/>
      <c r="C207" s="13"/>
      <c r="D207" s="5">
        <v>6759</v>
      </c>
      <c r="E207" s="6">
        <v>23195780</v>
      </c>
      <c r="F207" s="11">
        <v>3428.96</v>
      </c>
      <c r="G207" s="11"/>
    </row>
  </sheetData>
  <mergeCells count="235">
    <mergeCell ref="B206:C206"/>
    <mergeCell ref="F206:G206"/>
    <mergeCell ref="A207:C207"/>
    <mergeCell ref="F207:G207"/>
    <mergeCell ref="B190:C190"/>
    <mergeCell ref="F190:G190"/>
    <mergeCell ref="F191:G191"/>
    <mergeCell ref="B192:B205"/>
    <mergeCell ref="F192:G192"/>
    <mergeCell ref="F193:G193"/>
    <mergeCell ref="F194:G194"/>
    <mergeCell ref="F195:G195"/>
    <mergeCell ref="F196:G196"/>
    <mergeCell ref="F197:G197"/>
    <mergeCell ref="F198:G198"/>
    <mergeCell ref="F199:G199"/>
    <mergeCell ref="F200:G200"/>
    <mergeCell ref="F201:G201"/>
    <mergeCell ref="F202:G202"/>
    <mergeCell ref="F203:G203"/>
    <mergeCell ref="F204:G204"/>
    <mergeCell ref="F205:G205"/>
    <mergeCell ref="B175:C175"/>
    <mergeCell ref="F175:G175"/>
    <mergeCell ref="F176:G176"/>
    <mergeCell ref="B177:B189"/>
    <mergeCell ref="F177:G177"/>
    <mergeCell ref="F178:G178"/>
    <mergeCell ref="F179:G179"/>
    <mergeCell ref="F180:G180"/>
    <mergeCell ref="F181:G181"/>
    <mergeCell ref="F182:G182"/>
    <mergeCell ref="F183:G183"/>
    <mergeCell ref="F184:G184"/>
    <mergeCell ref="F185:G185"/>
    <mergeCell ref="F186:G186"/>
    <mergeCell ref="F187:G187"/>
    <mergeCell ref="F188:G188"/>
    <mergeCell ref="F189:G189"/>
    <mergeCell ref="B159:C159"/>
    <mergeCell ref="F159:G159"/>
    <mergeCell ref="F160:G160"/>
    <mergeCell ref="F161:G161"/>
    <mergeCell ref="B162:B174"/>
    <mergeCell ref="F162:G162"/>
    <mergeCell ref="F163:G163"/>
    <mergeCell ref="F164:G164"/>
    <mergeCell ref="F165:G165"/>
    <mergeCell ref="F166:G166"/>
    <mergeCell ref="F167:G167"/>
    <mergeCell ref="F168:G168"/>
    <mergeCell ref="F169:G169"/>
    <mergeCell ref="F170:G170"/>
    <mergeCell ref="F171:G171"/>
    <mergeCell ref="F172:G172"/>
    <mergeCell ref="F173:G173"/>
    <mergeCell ref="F174:G174"/>
    <mergeCell ref="B148:C148"/>
    <mergeCell ref="F148:G148"/>
    <mergeCell ref="F149:G149"/>
    <mergeCell ref="B150:B158"/>
    <mergeCell ref="F150:G150"/>
    <mergeCell ref="F151:G151"/>
    <mergeCell ref="F152:G152"/>
    <mergeCell ref="F153:G153"/>
    <mergeCell ref="F154:G154"/>
    <mergeCell ref="F155:G155"/>
    <mergeCell ref="F156:G156"/>
    <mergeCell ref="F157:G157"/>
    <mergeCell ref="F158:G158"/>
    <mergeCell ref="B132:C132"/>
    <mergeCell ref="F132:G132"/>
    <mergeCell ref="F133:G133"/>
    <mergeCell ref="B134:B147"/>
    <mergeCell ref="F134:G134"/>
    <mergeCell ref="F135:G135"/>
    <mergeCell ref="F136:G136"/>
    <mergeCell ref="F137:G137"/>
    <mergeCell ref="F138:G138"/>
    <mergeCell ref="F139:G139"/>
    <mergeCell ref="F140:G140"/>
    <mergeCell ref="F141:G141"/>
    <mergeCell ref="F142:G142"/>
    <mergeCell ref="F143:G143"/>
    <mergeCell ref="F144:G144"/>
    <mergeCell ref="F145:G145"/>
    <mergeCell ref="F146:G146"/>
    <mergeCell ref="F147:G147"/>
    <mergeCell ref="B117:C117"/>
    <mergeCell ref="F117:G117"/>
    <mergeCell ref="F118:G118"/>
    <mergeCell ref="B119:B131"/>
    <mergeCell ref="F119:G119"/>
    <mergeCell ref="F120:G120"/>
    <mergeCell ref="F121:G121"/>
    <mergeCell ref="F122:G122"/>
    <mergeCell ref="F123:G123"/>
    <mergeCell ref="F124:G124"/>
    <mergeCell ref="F125:G125"/>
    <mergeCell ref="F126:G126"/>
    <mergeCell ref="F127:G127"/>
    <mergeCell ref="F128:G128"/>
    <mergeCell ref="F129:G129"/>
    <mergeCell ref="F130:G130"/>
    <mergeCell ref="F131:G131"/>
    <mergeCell ref="B101:C101"/>
    <mergeCell ref="F101:G101"/>
    <mergeCell ref="F102:G102"/>
    <mergeCell ref="B103:B116"/>
    <mergeCell ref="F103:G103"/>
    <mergeCell ref="F104:G104"/>
    <mergeCell ref="F105:G105"/>
    <mergeCell ref="F106:G106"/>
    <mergeCell ref="F107:G107"/>
    <mergeCell ref="F108:G108"/>
    <mergeCell ref="F109:G109"/>
    <mergeCell ref="F110:G110"/>
    <mergeCell ref="F111:G111"/>
    <mergeCell ref="F112:G112"/>
    <mergeCell ref="F113:G113"/>
    <mergeCell ref="F114:G114"/>
    <mergeCell ref="F115:G115"/>
    <mergeCell ref="F116:G116"/>
    <mergeCell ref="B85:C85"/>
    <mergeCell ref="F85:G85"/>
    <mergeCell ref="F86:G86"/>
    <mergeCell ref="B87:B100"/>
    <mergeCell ref="F87:G87"/>
    <mergeCell ref="F88:G88"/>
    <mergeCell ref="F89:G89"/>
    <mergeCell ref="F90:G90"/>
    <mergeCell ref="F91:G91"/>
    <mergeCell ref="F92:G92"/>
    <mergeCell ref="F93:G93"/>
    <mergeCell ref="F94:G94"/>
    <mergeCell ref="F95:G95"/>
    <mergeCell ref="F96:G96"/>
    <mergeCell ref="F97:G97"/>
    <mergeCell ref="F98:G98"/>
    <mergeCell ref="F99:G99"/>
    <mergeCell ref="F100:G100"/>
    <mergeCell ref="B69:C69"/>
    <mergeCell ref="F69:G69"/>
    <mergeCell ref="F70:G70"/>
    <mergeCell ref="B71:B84"/>
    <mergeCell ref="F71:G71"/>
    <mergeCell ref="F72:G72"/>
    <mergeCell ref="F73:G73"/>
    <mergeCell ref="F74:G74"/>
    <mergeCell ref="F75:G75"/>
    <mergeCell ref="F76:G76"/>
    <mergeCell ref="F77:G77"/>
    <mergeCell ref="F78:G78"/>
    <mergeCell ref="F79:G79"/>
    <mergeCell ref="F80:G80"/>
    <mergeCell ref="F81:G81"/>
    <mergeCell ref="F82:G82"/>
    <mergeCell ref="F83:G83"/>
    <mergeCell ref="F84:G84"/>
    <mergeCell ref="B53:C53"/>
    <mergeCell ref="F53:G53"/>
    <mergeCell ref="F54:G54"/>
    <mergeCell ref="B55:B68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B37:C37"/>
    <mergeCell ref="F37:G37"/>
    <mergeCell ref="F38:G38"/>
    <mergeCell ref="B39:B52"/>
    <mergeCell ref="F39:G39"/>
    <mergeCell ref="F40:G40"/>
    <mergeCell ref="F41:G41"/>
    <mergeCell ref="F42:G42"/>
    <mergeCell ref="F43:G43"/>
    <mergeCell ref="F44:G44"/>
    <mergeCell ref="F45:G45"/>
    <mergeCell ref="F46:G46"/>
    <mergeCell ref="F47:G47"/>
    <mergeCell ref="F48:G48"/>
    <mergeCell ref="F49:G49"/>
    <mergeCell ref="F50:G50"/>
    <mergeCell ref="F51:G51"/>
    <mergeCell ref="F52:G52"/>
    <mergeCell ref="F22:G22"/>
    <mergeCell ref="B23:B36"/>
    <mergeCell ref="F23:G23"/>
    <mergeCell ref="F24:G24"/>
    <mergeCell ref="F25:G25"/>
    <mergeCell ref="F26:G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F36:G36"/>
    <mergeCell ref="A1:F1"/>
    <mergeCell ref="A2:F2"/>
    <mergeCell ref="A3:F3"/>
    <mergeCell ref="D4:G4"/>
    <mergeCell ref="F5:G5"/>
    <mergeCell ref="F6:G6"/>
    <mergeCell ref="A7:A206"/>
    <mergeCell ref="B7:B20"/>
    <mergeCell ref="F7:G7"/>
    <mergeCell ref="F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B21:C21"/>
    <mergeCell ref="F21:G21"/>
  </mergeCells>
  <pageMargins left="0.5" right="0.5" top="0.5" bottom="0.5" header="0.3" footer="0.3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1. Почасовая выручка (Отчет инс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 019</dc:creator>
  <cp:lastModifiedBy>Nurbekov Alikhan</cp:lastModifiedBy>
  <dcterms:created xsi:type="dcterms:W3CDTF">2026-10-02T10:12:08Z</dcterms:created>
  <dcterms:modified xsi:type="dcterms:W3CDTF">2026-10-05T03:12:22Z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16.2.4.0</vt:lpwstr>
  </property>
</Properties>
</file>